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newidmer_ethz_ch/Documents/Masterarbeit/Methods/3D Groundwater Modelling/DEM/"/>
    </mc:Choice>
  </mc:AlternateContent>
  <xr:revisionPtr revIDLastSave="2251" documentId="8_{6C8D5B40-611A-4D78-BAC9-67078CFC6363}" xr6:coauthVersionLast="47" xr6:coauthVersionMax="47" xr10:uidLastSave="{03B0952F-2E2B-42D3-97CF-78A4A58C019C}"/>
  <bookViews>
    <workbookView xWindow="-636" yWindow="336" windowWidth="20856" windowHeight="12336" xr2:uid="{D1156CBB-780C-48C2-9184-081F2A8FEA2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1" l="1"/>
  <c r="N102" i="1"/>
  <c r="N103" i="1"/>
  <c r="N104" i="1"/>
  <c r="M102" i="1"/>
  <c r="M103" i="1"/>
  <c r="M104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09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2" i="1"/>
  <c r="Q104" i="1"/>
  <c r="Q105" i="1"/>
  <c r="P104" i="1"/>
  <c r="P105" i="1"/>
  <c r="O104" i="1"/>
  <c r="O105" i="1"/>
  <c r="N105" i="1"/>
  <c r="M105" i="1"/>
  <c r="L104" i="1"/>
  <c r="L105" i="1"/>
  <c r="Q95" i="1"/>
  <c r="Q96" i="1"/>
  <c r="Q97" i="1"/>
  <c r="Q98" i="1"/>
  <c r="Q99" i="1"/>
  <c r="Q100" i="1"/>
  <c r="Q101" i="1"/>
  <c r="Q102" i="1"/>
  <c r="Q103" i="1"/>
  <c r="P95" i="1"/>
  <c r="P96" i="1"/>
  <c r="P97" i="1"/>
  <c r="P98" i="1"/>
  <c r="P99" i="1"/>
  <c r="P100" i="1"/>
  <c r="P101" i="1"/>
  <c r="P102" i="1"/>
  <c r="P103" i="1"/>
  <c r="O95" i="1"/>
  <c r="O96" i="1"/>
  <c r="O97" i="1"/>
  <c r="O98" i="1"/>
  <c r="O99" i="1"/>
  <c r="O100" i="1"/>
  <c r="O101" i="1"/>
  <c r="O102" i="1"/>
  <c r="O103" i="1"/>
  <c r="N95" i="1"/>
  <c r="N96" i="1"/>
  <c r="N97" i="1"/>
  <c r="N98" i="1"/>
  <c r="N99" i="1"/>
  <c r="N100" i="1"/>
  <c r="N101" i="1"/>
  <c r="L95" i="1"/>
  <c r="L96" i="1"/>
  <c r="L97" i="1"/>
  <c r="L98" i="1"/>
  <c r="L99" i="1"/>
  <c r="L100" i="1"/>
  <c r="L102" i="1"/>
  <c r="L103" i="1"/>
  <c r="M95" i="1"/>
  <c r="M96" i="1"/>
  <c r="M97" i="1"/>
  <c r="M98" i="1"/>
  <c r="M99" i="1"/>
  <c r="M100" i="1"/>
  <c r="M101" i="1"/>
  <c r="Q2" i="1"/>
  <c r="O2" i="1"/>
</calcChain>
</file>

<file path=xl/sharedStrings.xml><?xml version="1.0" encoding="utf-8"?>
<sst xmlns="http://schemas.openxmlformats.org/spreadsheetml/2006/main" count="122" uniqueCount="33">
  <si>
    <t>Line</t>
  </si>
  <si>
    <t>Electrode number</t>
  </si>
  <si>
    <t>X</t>
  </si>
  <si>
    <t>Y</t>
  </si>
  <si>
    <t>Z</t>
  </si>
  <si>
    <t>X_av</t>
  </si>
  <si>
    <t>std</t>
  </si>
  <si>
    <t>Y_av</t>
  </si>
  <si>
    <t>Z_av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</si>
  <si>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</si>
  <si>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</si>
  <si>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</si>
  <si>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</si>
  <si>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</si>
  <si>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</si>
  <si>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</si>
  <si>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</si>
  <si>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</si>
  <si>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weather station</t>
  </si>
  <si>
    <t>left soil profile (closer to swale)</t>
  </si>
  <si>
    <t>right soil profile (further from swale)</t>
  </si>
  <si>
    <t>SMS 1,2</t>
  </si>
  <si>
    <t>SMS 3,4,5</t>
  </si>
  <si>
    <t>SMS 6,7</t>
  </si>
  <si>
    <t>SMS 8,9</t>
  </si>
  <si>
    <t>SMS 10</t>
  </si>
  <si>
    <t>SMS 11,12</t>
  </si>
  <si>
    <t>SMS 13,14</t>
  </si>
  <si>
    <t>SMS 15,16</t>
  </si>
  <si>
    <t xml:space="preserve">Depths SMS </t>
  </si>
  <si>
    <t>surface</t>
  </si>
  <si>
    <t>depth</t>
  </si>
  <si>
    <t>z-coordinate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</si>
</sst>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02-481B-A824-A321B422D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Tabelle1!$L$98:$L$105</c:f>
              <c:numCache>
                <c:formatCode>General</c:formatCode>
                <c:ptCount val="8"/>
                <c:pt idx="0">
                  <c:v>5.6271130000000005</c:v>
                </c:pt>
                <c:pt idx="1">
                  <c:v>5.4263249999999994</c:v>
                </c:pt>
                <c:pt idx="2">
                  <c:v>4.1939310000000001</c:v>
                </c:pt>
                <c:pt idx="3">
                  <c:v>5.1525583333333342</c:v>
                </c:pt>
                <c:pt idx="4">
                  <c:v>5.6002609999999997</c:v>
                </c:pt>
                <c:pt idx="5">
                  <c:v>-4.1944033333333337</c:v>
                </c:pt>
                <c:pt idx="6">
                  <c:v>-5.6994786666666668</c:v>
                </c:pt>
                <c:pt idx="7">
                  <c:v>-6.3132086666666671</c:v>
                </c:pt>
              </c:numCache>
            </c:numRef>
          </c:xVal>
          <c:yVal>
            <c:numRef>
              <c:f>Tabelle1!$N$98:$N$105</c:f>
              <c:numCache>
                <c:formatCode>General</c:formatCode>
                <c:ptCount val="8"/>
                <c:pt idx="0">
                  <c:v>3.004324</c:v>
                </c:pt>
                <c:pt idx="1">
                  <c:v>5.764025666666666</c:v>
                </c:pt>
                <c:pt idx="2">
                  <c:v>8.3902709999999985</c:v>
                </c:pt>
                <c:pt idx="3">
                  <c:v>8.9424416666666655</c:v>
                </c:pt>
                <c:pt idx="4">
                  <c:v>5.3793603333333335</c:v>
                </c:pt>
                <c:pt idx="5">
                  <c:v>-0.44338000000000005</c:v>
                </c:pt>
                <c:pt idx="6">
                  <c:v>2.9545370000000002</c:v>
                </c:pt>
                <c:pt idx="7">
                  <c:v>4.6994486666666671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2-481B-A824-A321B422D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92112"/>
        <c:axId val="1157491152"/>
      </c:scatterChart>
      <c:valAx>
        <c:axId val="11574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91152"/>
        <c:crosses val="autoZero"/>
        <c:crossBetween val="midCat"/>
      </c:valAx>
      <c:valAx>
        <c:axId val="11574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694372</xdr:colOff>
      <xdr:row>112</xdr:row>
      <xdr:rowOff>120650</xdr:rowOff>
    </xdr:from>
    <xdr:to>
      <xdr:col>17</xdr:col>
      <xdr:colOff>503872</xdr:colOff>
      <xdr:row>128</xdr:row>
      <xdr:rowOff>73660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D0DC464-D94E-28C2-BB39-374B4A251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5EFB-2AF8-4A2A-B471-23310AB67393}">
  <dimension ref="A1:Q124"/>
  <sheetViews>
    <sheetView tabSelected="1" zoomScale="60" zoomScaleNormal="60" workbookViewId="0">
      <pane ySplit="1" topLeftCell="A85" activePane="bottomLeft" state="frozen"/>
      <selection pane="bottomLeft" activeCell="A98" sqref="A98:XFD105"/>
    </sheetView>
  </sheetViews>
  <sheetFormatPr defaultColWidth="11.42578125" defaultRowHeight="14.45"/>
  <cols>
    <col min="2" max="2" width="18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6</v>
      </c>
      <c r="P1" t="s">
        <v>8</v>
      </c>
      <c r="Q1" t="s">
        <v>6</v>
      </c>
    </row>
    <row r="2" spans="1:17">
      <c r="A2" t="s">
        <v>9</v>
      </c>
      <c r="B2">
        <v>1</v>
      </c>
      <c r="C2">
        <v>5.099113</v>
      </c>
      <c r="D2">
        <v>2.9359410000000001</v>
      </c>
      <c r="E2">
        <v>-0.90954299999999999</v>
      </c>
      <c r="F2">
        <v>5.0927281000000004</v>
      </c>
      <c r="G2">
        <v>2.9340609999999998</v>
      </c>
      <c r="H2">
        <v>-0.90851099999999996</v>
      </c>
      <c r="I2">
        <v>5.1147859999999996</v>
      </c>
      <c r="J2">
        <v>3.039485</v>
      </c>
      <c r="K2">
        <v>-0.88373000000000002</v>
      </c>
      <c r="L2">
        <f>AVERAGE(C2,F2,I2)</f>
        <v>5.1022090333333336</v>
      </c>
      <c r="M2">
        <f>_xlfn.STDEV.P(C2,F2,I2)</f>
        <v>9.2673910353570522E-3</v>
      </c>
      <c r="N2">
        <f>AVERAGE(D2,G2,J2)</f>
        <v>2.9698289999999994</v>
      </c>
      <c r="O2">
        <f>_xlfn.STDEV.P(D2,G2,J2)</f>
        <v>4.9260209446029241E-2</v>
      </c>
      <c r="P2">
        <f>AVERAGE(E2,H2,K2)</f>
        <v>-0.90059466666666665</v>
      </c>
      <c r="Q2">
        <f>_xlfn.STDEV.P(E2,H2,K2)</f>
        <v>1.193256028222311E-2</v>
      </c>
    </row>
    <row r="3" spans="1:17">
      <c r="A3" t="s">
        <v>9</v>
      </c>
      <c r="B3">
        <v>2</v>
      </c>
      <c r="C3">
        <v>5.0269909999999998</v>
      </c>
      <c r="D3">
        <v>3.6265589999999999</v>
      </c>
      <c r="E3">
        <v>-0.81504900000000002</v>
      </c>
      <c r="F3">
        <v>5.0417100000000001</v>
      </c>
      <c r="G3">
        <v>3.639354</v>
      </c>
      <c r="H3">
        <v>-0.71176499999999998</v>
      </c>
      <c r="I3">
        <v>5.054729</v>
      </c>
      <c r="J3">
        <v>3.6320709999999998</v>
      </c>
      <c r="K3">
        <v>-0.82709999999999995</v>
      </c>
      <c r="L3">
        <f t="shared" ref="L3:L66" si="0">AVERAGE(C3,F3,I3)</f>
        <v>5.0411433333333333</v>
      </c>
      <c r="M3">
        <f t="shared" ref="M3:M66" si="1">_xlfn.STDEV.P(C3,F3,I3)</f>
        <v>1.1331078040308347E-2</v>
      </c>
      <c r="N3">
        <f t="shared" ref="N3:N66" si="2">AVERAGE(D3,G3,J3)</f>
        <v>3.6326613333333331</v>
      </c>
      <c r="O3">
        <f t="shared" ref="O3:O66" si="3">_xlfn.STDEV.P(D3,G3,J3)</f>
        <v>5.2401893307611261E-3</v>
      </c>
      <c r="P3">
        <f t="shared" ref="P3:P66" si="4">AVERAGE(E3,H3,K3)</f>
        <v>-0.78463799999999984</v>
      </c>
      <c r="Q3">
        <f t="shared" ref="Q3:Q66" si="5">_xlfn.STDEV.P(E3,H3,K3)</f>
        <v>5.1763321937449105E-2</v>
      </c>
    </row>
    <row r="4" spans="1:17">
      <c r="A4" t="s">
        <v>9</v>
      </c>
      <c r="B4">
        <v>3</v>
      </c>
      <c r="C4">
        <v>5.2479870000000002</v>
      </c>
      <c r="D4">
        <v>4.4241260000000002</v>
      </c>
      <c r="E4">
        <v>-1.056778</v>
      </c>
      <c r="F4">
        <v>5.2479870000000002</v>
      </c>
      <c r="G4">
        <v>4.4241260000000002</v>
      </c>
      <c r="H4">
        <v>-1.056778</v>
      </c>
      <c r="I4">
        <v>5.2544500000000003</v>
      </c>
      <c r="J4">
        <v>4.4355200000000004</v>
      </c>
      <c r="K4">
        <v>-1.0567390000000001</v>
      </c>
      <c r="L4">
        <f t="shared" si="0"/>
        <v>5.2501413333333335</v>
      </c>
      <c r="M4">
        <f t="shared" si="1"/>
        <v>3.0466874178724885E-3</v>
      </c>
      <c r="N4">
        <f t="shared" si="2"/>
        <v>4.427924</v>
      </c>
      <c r="O4">
        <f t="shared" si="3"/>
        <v>5.3711831098930745E-3</v>
      </c>
      <c r="P4">
        <f t="shared" si="4"/>
        <v>-1.0567650000000002</v>
      </c>
      <c r="Q4">
        <f t="shared" si="5"/>
        <v>1.8384776310803204E-5</v>
      </c>
    </row>
    <row r="5" spans="1:17">
      <c r="A5" t="s">
        <v>9</v>
      </c>
      <c r="B5">
        <v>4</v>
      </c>
      <c r="C5">
        <v>5.0395029999999998</v>
      </c>
      <c r="D5">
        <v>5.277183</v>
      </c>
      <c r="E5">
        <v>-0.74218600000000001</v>
      </c>
      <c r="F5">
        <v>5.0298610000000004</v>
      </c>
      <c r="G5">
        <v>5.2789720000000004</v>
      </c>
      <c r="H5">
        <v>-0.73850800000000005</v>
      </c>
      <c r="I5">
        <v>5.0182650000000004</v>
      </c>
      <c r="J5">
        <v>5.1790450000000003</v>
      </c>
      <c r="K5">
        <v>-0.76612999999999998</v>
      </c>
      <c r="L5">
        <f t="shared" si="0"/>
        <v>5.0292096666666666</v>
      </c>
      <c r="M5">
        <f t="shared" si="1"/>
        <v>8.6826008904140155E-3</v>
      </c>
      <c r="N5">
        <f t="shared" si="2"/>
        <v>5.2450666666666672</v>
      </c>
      <c r="O5">
        <f t="shared" si="3"/>
        <v>4.6690080904715547E-2</v>
      </c>
      <c r="P5">
        <f t="shared" si="4"/>
        <v>-0.74894133333333335</v>
      </c>
      <c r="Q5">
        <f t="shared" si="5"/>
        <v>1.2246621774550246E-2</v>
      </c>
    </row>
    <row r="6" spans="1:17">
      <c r="A6" t="s">
        <v>9</v>
      </c>
      <c r="B6">
        <v>5</v>
      </c>
      <c r="C6">
        <v>5.1025200000000002</v>
      </c>
      <c r="D6">
        <v>5.818981</v>
      </c>
      <c r="E6">
        <v>-0.69543600000000005</v>
      </c>
      <c r="F6">
        <v>5.1019199999999998</v>
      </c>
      <c r="G6">
        <v>5.8351199999999999</v>
      </c>
      <c r="H6">
        <v>-0.69476400000000005</v>
      </c>
      <c r="I6">
        <v>5.0997830000000004</v>
      </c>
      <c r="J6">
        <v>5.8089890000000004</v>
      </c>
      <c r="K6">
        <v>-0.69391999999999998</v>
      </c>
      <c r="L6">
        <f t="shared" si="0"/>
        <v>5.1014076666666668</v>
      </c>
      <c r="M6">
        <f t="shared" si="1"/>
        <v>1.174636492234303E-3</v>
      </c>
      <c r="N6">
        <f t="shared" si="2"/>
        <v>5.8210300000000004</v>
      </c>
      <c r="O6">
        <f t="shared" si="3"/>
        <v>1.0765874821242452E-2</v>
      </c>
      <c r="P6">
        <f t="shared" si="4"/>
        <v>-0.69470666666666669</v>
      </c>
      <c r="Q6">
        <f t="shared" si="5"/>
        <v>6.2023078142112577E-4</v>
      </c>
    </row>
    <row r="7" spans="1:17">
      <c r="A7" t="s">
        <v>9</v>
      </c>
      <c r="B7">
        <v>6</v>
      </c>
      <c r="C7">
        <v>5.1906319999999999</v>
      </c>
      <c r="D7">
        <v>6.4660840000000004</v>
      </c>
      <c r="E7">
        <v>-0.63746199999999997</v>
      </c>
      <c r="F7">
        <v>5.2229970000000003</v>
      </c>
      <c r="G7">
        <v>6.3940700000000001</v>
      </c>
      <c r="H7">
        <v>-0.64831000000000005</v>
      </c>
      <c r="I7">
        <v>5.1731999999999996</v>
      </c>
      <c r="J7">
        <v>6.4665280000000003</v>
      </c>
      <c r="K7">
        <v>-0.63939000000000001</v>
      </c>
      <c r="L7">
        <f t="shared" si="0"/>
        <v>5.1956096666666669</v>
      </c>
      <c r="M7">
        <f t="shared" si="1"/>
        <v>2.0631984495492306E-2</v>
      </c>
      <c r="N7">
        <f t="shared" si="2"/>
        <v>6.4422273333333342</v>
      </c>
      <c r="O7">
        <f t="shared" si="3"/>
        <v>3.405285939372632E-2</v>
      </c>
      <c r="P7">
        <f t="shared" si="4"/>
        <v>-0.64172066666666672</v>
      </c>
      <c r="Q7">
        <f t="shared" si="5"/>
        <v>4.7253769749678008E-3</v>
      </c>
    </row>
    <row r="8" spans="1:17">
      <c r="A8" t="s">
        <v>9</v>
      </c>
      <c r="B8">
        <v>7</v>
      </c>
      <c r="C8">
        <v>5.2213149999999997</v>
      </c>
      <c r="D8">
        <v>7.1679009999999996</v>
      </c>
      <c r="E8">
        <v>-0.54739199999999999</v>
      </c>
      <c r="F8">
        <v>5.2041120000000003</v>
      </c>
      <c r="G8">
        <v>7.1679360000000001</v>
      </c>
      <c r="H8">
        <v>-0.54478300000000002</v>
      </c>
      <c r="I8">
        <v>5.1967840000000001</v>
      </c>
      <c r="J8">
        <v>7.171316</v>
      </c>
      <c r="K8">
        <v>-0.54110400000000003</v>
      </c>
      <c r="L8">
        <f t="shared" si="0"/>
        <v>5.207403666666667</v>
      </c>
      <c r="M8">
        <f t="shared" si="1"/>
        <v>1.0281659798992492E-2</v>
      </c>
      <c r="N8">
        <f t="shared" si="2"/>
        <v>7.1690509999999996</v>
      </c>
      <c r="O8">
        <f t="shared" si="3"/>
        <v>1.6016605965893398E-3</v>
      </c>
      <c r="P8">
        <f t="shared" si="4"/>
        <v>-0.54442633333333335</v>
      </c>
      <c r="Q8">
        <f t="shared" si="5"/>
        <v>2.5794242682341878E-3</v>
      </c>
    </row>
    <row r="9" spans="1:17">
      <c r="A9" t="s">
        <v>9</v>
      </c>
      <c r="B9">
        <v>8</v>
      </c>
      <c r="C9">
        <v>5.1948309999999998</v>
      </c>
      <c r="D9">
        <v>7.8179530000000002</v>
      </c>
      <c r="E9">
        <v>-0.48187099999999999</v>
      </c>
      <c r="F9">
        <v>5.244459</v>
      </c>
      <c r="G9">
        <v>7.7449079999999997</v>
      </c>
      <c r="H9">
        <v>-0.501641</v>
      </c>
      <c r="I9">
        <v>5.2438760000000002</v>
      </c>
      <c r="J9">
        <v>7.7489790000000003</v>
      </c>
      <c r="K9">
        <v>-0.50160899999999997</v>
      </c>
      <c r="L9">
        <f t="shared" si="0"/>
        <v>5.227722</v>
      </c>
      <c r="M9">
        <f t="shared" si="1"/>
        <v>2.3258666958075522E-2</v>
      </c>
      <c r="N9">
        <f t="shared" si="2"/>
        <v>7.7706133333333334</v>
      </c>
      <c r="O9">
        <f t="shared" si="3"/>
        <v>3.3515432170204244E-2</v>
      </c>
      <c r="P9">
        <f t="shared" si="4"/>
        <v>-0.4950403333333333</v>
      </c>
      <c r="Q9">
        <f t="shared" si="5"/>
        <v>9.3121340673815913E-3</v>
      </c>
    </row>
    <row r="10" spans="1:17">
      <c r="A10" t="s">
        <v>9</v>
      </c>
      <c r="B10">
        <v>9</v>
      </c>
      <c r="C10">
        <v>4.9946558000000003</v>
      </c>
      <c r="D10">
        <v>8.3446829999999999</v>
      </c>
      <c r="E10">
        <v>-0.37938699999999997</v>
      </c>
      <c r="F10">
        <v>4.9945769999999996</v>
      </c>
      <c r="G10">
        <v>8.3555770000000003</v>
      </c>
      <c r="H10">
        <v>-0.36673800000000001</v>
      </c>
      <c r="I10">
        <v>4.9775600000000004</v>
      </c>
      <c r="J10">
        <v>8.3415940000000006</v>
      </c>
      <c r="K10">
        <v>-0.38310100000000002</v>
      </c>
      <c r="L10">
        <f t="shared" si="0"/>
        <v>4.9889309333333332</v>
      </c>
      <c r="M10">
        <f t="shared" si="1"/>
        <v>8.0405284243150743E-3</v>
      </c>
      <c r="N10">
        <f t="shared" si="2"/>
        <v>8.3472846666666669</v>
      </c>
      <c r="O10">
        <f t="shared" si="3"/>
        <v>5.9976425553897039E-3</v>
      </c>
      <c r="P10">
        <f t="shared" si="4"/>
        <v>-0.37640866666666667</v>
      </c>
      <c r="Q10">
        <f t="shared" si="5"/>
        <v>7.0042746154679644E-3</v>
      </c>
    </row>
    <row r="11" spans="1:17">
      <c r="A11" t="s">
        <v>9</v>
      </c>
      <c r="B11">
        <v>10</v>
      </c>
      <c r="C11">
        <v>4.7929630000000003</v>
      </c>
      <c r="D11">
        <v>8.9302600000000005</v>
      </c>
      <c r="E11">
        <v>-0.300068</v>
      </c>
      <c r="F11">
        <v>4.7774640000000002</v>
      </c>
      <c r="G11">
        <v>9.0160979999999995</v>
      </c>
      <c r="H11">
        <v>-0.28589100000000001</v>
      </c>
      <c r="I11">
        <v>4.8051329999999997</v>
      </c>
      <c r="J11">
        <v>8.9448480000000004</v>
      </c>
      <c r="K11">
        <v>-0.30097200000000002</v>
      </c>
      <c r="L11">
        <f t="shared" si="0"/>
        <v>4.7918533333333331</v>
      </c>
      <c r="M11">
        <f t="shared" si="1"/>
        <v>1.1323041709520955E-2</v>
      </c>
      <c r="N11">
        <f t="shared" si="2"/>
        <v>8.9637353333333341</v>
      </c>
      <c r="O11">
        <f t="shared" si="3"/>
        <v>3.7501902896904513E-2</v>
      </c>
      <c r="P11">
        <f t="shared" si="4"/>
        <v>-0.29564366666666669</v>
      </c>
      <c r="Q11">
        <f t="shared" si="5"/>
        <v>6.9060449044458325E-3</v>
      </c>
    </row>
    <row r="12" spans="1:17">
      <c r="A12" t="s">
        <v>10</v>
      </c>
      <c r="B12">
        <v>1</v>
      </c>
      <c r="C12">
        <v>8.7539979999999993</v>
      </c>
      <c r="D12">
        <v>3.302581</v>
      </c>
      <c r="E12">
        <v>-1.1494869999999999</v>
      </c>
      <c r="F12">
        <v>8.7678809999999991</v>
      </c>
      <c r="G12">
        <v>3.3093750000000002</v>
      </c>
      <c r="H12">
        <v>-1.148917</v>
      </c>
      <c r="I12">
        <v>8.7847770000000001</v>
      </c>
      <c r="J12">
        <v>3.3005960000000001</v>
      </c>
      <c r="K12">
        <v>-1.1524479999999999</v>
      </c>
      <c r="L12">
        <f t="shared" si="0"/>
        <v>8.7688853333333316</v>
      </c>
      <c r="M12">
        <f t="shared" si="1"/>
        <v>1.2585526722743757E-2</v>
      </c>
      <c r="N12">
        <f t="shared" si="2"/>
        <v>3.3041839999999998</v>
      </c>
      <c r="O12">
        <f t="shared" si="3"/>
        <v>3.7589818657007496E-3</v>
      </c>
      <c r="P12">
        <f t="shared" si="4"/>
        <v>-1.1502839999999999</v>
      </c>
      <c r="Q12">
        <f t="shared" si="5"/>
        <v>1.5477719470257723E-3</v>
      </c>
    </row>
    <row r="13" spans="1:17">
      <c r="A13" t="s">
        <v>10</v>
      </c>
      <c r="B13">
        <v>2</v>
      </c>
      <c r="C13">
        <v>8.0918980000000005</v>
      </c>
      <c r="D13">
        <v>3.2295509999999998</v>
      </c>
      <c r="E13">
        <v>-1.1349640000000001</v>
      </c>
      <c r="F13">
        <v>8.1133539999999993</v>
      </c>
      <c r="G13">
        <v>3.2527400000000002</v>
      </c>
      <c r="H13">
        <v>-1.136522</v>
      </c>
      <c r="I13">
        <v>8.1046279999999999</v>
      </c>
      <c r="J13">
        <v>3.2460059999999999</v>
      </c>
      <c r="K13">
        <v>-1.136134</v>
      </c>
      <c r="L13">
        <f t="shared" si="0"/>
        <v>8.1032933333333332</v>
      </c>
      <c r="M13">
        <f t="shared" si="1"/>
        <v>8.8100694410173132E-3</v>
      </c>
      <c r="N13">
        <f t="shared" si="2"/>
        <v>3.2427656666666667</v>
      </c>
      <c r="O13">
        <f t="shared" si="3"/>
        <v>9.7402002146888527E-3</v>
      </c>
      <c r="P13">
        <f t="shared" si="4"/>
        <v>-1.1358733333333335</v>
      </c>
      <c r="Q13">
        <f t="shared" si="5"/>
        <v>6.6221916479529744E-4</v>
      </c>
    </row>
    <row r="14" spans="1:17">
      <c r="A14" t="s">
        <v>10</v>
      </c>
      <c r="B14">
        <v>3</v>
      </c>
      <c r="C14">
        <v>7.7453177000000002</v>
      </c>
      <c r="D14">
        <v>3.2367840000000001</v>
      </c>
      <c r="E14">
        <v>-1.1017060000000001</v>
      </c>
      <c r="F14">
        <v>7.4676939999999998</v>
      </c>
      <c r="G14">
        <v>3.2249530000000002</v>
      </c>
      <c r="H14">
        <v>-1.1010500000000001</v>
      </c>
      <c r="I14">
        <v>7.504073</v>
      </c>
      <c r="J14">
        <v>3.2281759999999999</v>
      </c>
      <c r="K14">
        <v>-1.1024430000000001</v>
      </c>
      <c r="L14">
        <f t="shared" si="0"/>
        <v>7.5723615666666673</v>
      </c>
      <c r="M14">
        <f t="shared" si="1"/>
        <v>0.12319693165406187</v>
      </c>
      <c r="N14">
        <f t="shared" si="2"/>
        <v>3.2299710000000004</v>
      </c>
      <c r="O14">
        <f t="shared" si="3"/>
        <v>4.9939736349591014E-3</v>
      </c>
      <c r="P14">
        <f t="shared" si="4"/>
        <v>-1.1017330000000001</v>
      </c>
      <c r="Q14">
        <f t="shared" si="5"/>
        <v>5.6901025181156108E-4</v>
      </c>
    </row>
    <row r="15" spans="1:17">
      <c r="A15" t="s">
        <v>10</v>
      </c>
      <c r="B15">
        <v>4</v>
      </c>
      <c r="C15">
        <v>6.8800020000000002</v>
      </c>
      <c r="D15">
        <v>3.1204809999999998</v>
      </c>
      <c r="E15">
        <v>-0.98060700000000001</v>
      </c>
      <c r="F15">
        <v>6.8242849999999997</v>
      </c>
      <c r="G15">
        <v>3.2220710000000001</v>
      </c>
      <c r="H15">
        <v>-0.97935300000000003</v>
      </c>
      <c r="I15">
        <v>6.8587949999999998</v>
      </c>
      <c r="J15">
        <v>3.2216360000000002</v>
      </c>
      <c r="K15">
        <v>-0.97286899999999998</v>
      </c>
      <c r="L15">
        <f t="shared" si="0"/>
        <v>6.8543606666666674</v>
      </c>
      <c r="M15">
        <f t="shared" si="1"/>
        <v>2.2961467815064224E-2</v>
      </c>
      <c r="N15">
        <f t="shared" si="2"/>
        <v>3.1880626666666667</v>
      </c>
      <c r="O15">
        <f t="shared" si="3"/>
        <v>4.7787784759520252E-2</v>
      </c>
      <c r="P15">
        <f t="shared" si="4"/>
        <v>-0.9776096666666666</v>
      </c>
      <c r="Q15">
        <f t="shared" si="5"/>
        <v>3.3910243617854352E-3</v>
      </c>
    </row>
    <row r="16" spans="1:17">
      <c r="A16" t="s">
        <v>10</v>
      </c>
      <c r="B16">
        <v>5</v>
      </c>
      <c r="C16">
        <v>6.1444619999999999</v>
      </c>
      <c r="D16">
        <v>3.1917309999999999</v>
      </c>
      <c r="E16">
        <v>-0.93682500000000002</v>
      </c>
      <c r="F16">
        <v>6.1403129999999999</v>
      </c>
      <c r="G16">
        <v>3.1936779999999998</v>
      </c>
      <c r="H16">
        <v>-0.93715099999999996</v>
      </c>
      <c r="I16">
        <v>6.1102169999999996</v>
      </c>
      <c r="J16">
        <v>3.20919</v>
      </c>
      <c r="K16">
        <v>-0.94331399999999999</v>
      </c>
      <c r="L16">
        <f t="shared" si="0"/>
        <v>6.1316639999999998</v>
      </c>
      <c r="M16">
        <f t="shared" si="1"/>
        <v>1.5259617885124274E-2</v>
      </c>
      <c r="N16">
        <f t="shared" si="2"/>
        <v>3.1981996666666661</v>
      </c>
      <c r="O16">
        <f t="shared" si="3"/>
        <v>7.8118829285192155E-3</v>
      </c>
      <c r="P16">
        <f t="shared" si="4"/>
        <v>-0.93909666666666658</v>
      </c>
      <c r="Q16">
        <f t="shared" si="5"/>
        <v>2.9850733473214485E-3</v>
      </c>
    </row>
    <row r="17" spans="1:17">
      <c r="A17" t="s">
        <v>10</v>
      </c>
      <c r="B17">
        <v>6</v>
      </c>
      <c r="C17">
        <v>5.4625680000000001</v>
      </c>
      <c r="D17">
        <v>3.2039529999999998</v>
      </c>
      <c r="E17">
        <v>-0.87642600000000004</v>
      </c>
      <c r="F17">
        <v>5.4284379999999999</v>
      </c>
      <c r="G17">
        <v>3.1891129999999999</v>
      </c>
      <c r="H17">
        <v>-0.90137599999999996</v>
      </c>
      <c r="I17">
        <v>5.4625680000000001</v>
      </c>
      <c r="J17">
        <v>3.2038530000000001</v>
      </c>
      <c r="K17">
        <v>-0.87942600000000004</v>
      </c>
      <c r="L17">
        <f t="shared" si="0"/>
        <v>5.4511913333333339</v>
      </c>
      <c r="M17">
        <f t="shared" si="1"/>
        <v>1.6089036294598014E-2</v>
      </c>
      <c r="N17">
        <f t="shared" si="2"/>
        <v>3.1989730000000001</v>
      </c>
      <c r="O17">
        <f t="shared" si="3"/>
        <v>6.9721923859477073E-3</v>
      </c>
      <c r="P17">
        <f t="shared" si="4"/>
        <v>-0.88574266666666668</v>
      </c>
      <c r="Q17">
        <f t="shared" si="5"/>
        <v>1.1122075146102669E-2</v>
      </c>
    </row>
    <row r="18" spans="1:17" ht="15.6" customHeight="1">
      <c r="A18" t="s">
        <v>10</v>
      </c>
      <c r="B18">
        <v>7</v>
      </c>
      <c r="C18">
        <v>4.7787800000000002</v>
      </c>
      <c r="D18">
        <v>3.3513540000000002</v>
      </c>
      <c r="E18">
        <v>-0.80317499999999997</v>
      </c>
      <c r="F18">
        <v>4.7649049999999997</v>
      </c>
      <c r="G18">
        <v>3.3557890000000001</v>
      </c>
      <c r="H18">
        <v>-0.80566400000000005</v>
      </c>
      <c r="I18">
        <v>4.784961</v>
      </c>
      <c r="J18">
        <v>3.3521100000000001</v>
      </c>
      <c r="K18">
        <v>-0.79641799999999996</v>
      </c>
      <c r="L18">
        <f t="shared" si="0"/>
        <v>4.776215333333333</v>
      </c>
      <c r="M18">
        <f t="shared" si="1"/>
        <v>8.3862554350690299E-3</v>
      </c>
      <c r="N18">
        <f t="shared" si="2"/>
        <v>3.3530843333333333</v>
      </c>
      <c r="O18">
        <f t="shared" si="3"/>
        <v>1.9372317592092183E-3</v>
      </c>
      <c r="P18">
        <f t="shared" si="4"/>
        <v>-0.8017523333333334</v>
      </c>
      <c r="Q18">
        <f t="shared" si="5"/>
        <v>3.9064147529701016E-3</v>
      </c>
    </row>
    <row r="19" spans="1:17" s="1" customFormat="1">
      <c r="A19" s="1" t="s">
        <v>10</v>
      </c>
      <c r="B19" s="1">
        <v>8</v>
      </c>
      <c r="C19" s="1">
        <v>4.0049270000000003</v>
      </c>
      <c r="D19" s="1">
        <v>3.3323230000000001</v>
      </c>
      <c r="E19" s="1">
        <v>-0.66292200000000001</v>
      </c>
      <c r="F19" s="1">
        <v>4.0029019999999997</v>
      </c>
      <c r="G19" s="1">
        <v>3.3323230000000001</v>
      </c>
      <c r="H19" s="1">
        <v>-0.65988400000000003</v>
      </c>
      <c r="I19" s="1">
        <v>4.0049270000000003</v>
      </c>
      <c r="J19" s="1">
        <v>3.3323230000000001</v>
      </c>
      <c r="K19" s="1">
        <v>-0.66292200000000001</v>
      </c>
      <c r="L19">
        <f t="shared" si="0"/>
        <v>4.0042520000000001</v>
      </c>
      <c r="M19">
        <f t="shared" si="1"/>
        <v>9.5459415460212658E-4</v>
      </c>
      <c r="N19">
        <f t="shared" si="2"/>
        <v>3.3323230000000001</v>
      </c>
      <c r="O19">
        <f t="shared" si="3"/>
        <v>0</v>
      </c>
      <c r="P19">
        <f t="shared" si="4"/>
        <v>-0.66190933333333335</v>
      </c>
      <c r="Q19">
        <f t="shared" si="5"/>
        <v>1.4321269341631474E-3</v>
      </c>
    </row>
    <row r="20" spans="1:17">
      <c r="A20" t="s">
        <v>10</v>
      </c>
      <c r="B20">
        <v>9</v>
      </c>
      <c r="C20">
        <v>3.4327920000000001</v>
      </c>
      <c r="D20">
        <v>3.3697219999999999</v>
      </c>
      <c r="E20">
        <v>-0.58204800000000001</v>
      </c>
      <c r="F20">
        <v>3.4327920000000001</v>
      </c>
      <c r="G20">
        <v>3.3697219999999999</v>
      </c>
      <c r="H20">
        <v>-0.58204800000000001</v>
      </c>
      <c r="I20">
        <v>3.4207580000000002</v>
      </c>
      <c r="J20">
        <v>3.3776030000000001</v>
      </c>
      <c r="K20">
        <v>-0.58056799999999997</v>
      </c>
      <c r="L20">
        <f t="shared" si="0"/>
        <v>3.4287806666666669</v>
      </c>
      <c r="M20">
        <f t="shared" si="1"/>
        <v>5.6728820031992176E-3</v>
      </c>
      <c r="N20">
        <f t="shared" si="2"/>
        <v>3.3723489999999998</v>
      </c>
      <c r="O20">
        <f t="shared" si="3"/>
        <v>3.7151390283542379E-3</v>
      </c>
      <c r="P20">
        <f t="shared" si="4"/>
        <v>-0.58155466666666666</v>
      </c>
      <c r="Q20">
        <f t="shared" si="5"/>
        <v>6.9767869077074429E-4</v>
      </c>
    </row>
    <row r="21" spans="1:17">
      <c r="A21" t="s">
        <v>10</v>
      </c>
      <c r="B21">
        <v>10</v>
      </c>
      <c r="C21">
        <v>2.6628500000000002</v>
      </c>
      <c r="D21">
        <v>3.423394</v>
      </c>
      <c r="E21">
        <v>-0.51008299999999995</v>
      </c>
      <c r="F21">
        <v>2.7224889999999999</v>
      </c>
      <c r="G21">
        <v>3.4499620000000002</v>
      </c>
      <c r="H21">
        <v>-0.49854399999999999</v>
      </c>
      <c r="I21">
        <v>2.717285</v>
      </c>
      <c r="J21">
        <v>3.443254</v>
      </c>
      <c r="K21">
        <v>-0.49213099999999999</v>
      </c>
      <c r="L21">
        <f t="shared" si="0"/>
        <v>2.700874666666667</v>
      </c>
      <c r="M21">
        <f t="shared" si="1"/>
        <v>2.6971304014122427E-2</v>
      </c>
      <c r="N21">
        <f t="shared" si="2"/>
        <v>3.4388700000000001</v>
      </c>
      <c r="O21">
        <f t="shared" si="3"/>
        <v>1.1280639698173195E-2</v>
      </c>
      <c r="P21">
        <f t="shared" si="4"/>
        <v>-0.50025266666666657</v>
      </c>
      <c r="Q21">
        <f t="shared" si="5"/>
        <v>7.4277960990383057E-3</v>
      </c>
    </row>
    <row r="22" spans="1:17">
      <c r="A22" t="s">
        <v>11</v>
      </c>
      <c r="B22">
        <v>1</v>
      </c>
      <c r="C22">
        <v>8.6314530000000005</v>
      </c>
      <c r="D22">
        <v>5.4274480000000001</v>
      </c>
      <c r="E22">
        <v>-0.78068899999999997</v>
      </c>
      <c r="F22">
        <v>8.6101550000000007</v>
      </c>
      <c r="G22">
        <v>5.4129199999999997</v>
      </c>
      <c r="H22">
        <v>-0.78549999999999998</v>
      </c>
      <c r="I22">
        <v>8.634817</v>
      </c>
      <c r="J22">
        <v>5.4111710000000004</v>
      </c>
      <c r="K22">
        <v>-0.78651499999999996</v>
      </c>
      <c r="L22">
        <f t="shared" si="0"/>
        <v>8.6254749999999998</v>
      </c>
      <c r="M22">
        <f t="shared" si="1"/>
        <v>1.0919582531702462E-2</v>
      </c>
      <c r="N22">
        <f t="shared" si="2"/>
        <v>5.4171796666666667</v>
      </c>
      <c r="O22">
        <f t="shared" si="3"/>
        <v>7.2958322501426613E-3</v>
      </c>
      <c r="P22">
        <f t="shared" si="4"/>
        <v>-0.78423466666666675</v>
      </c>
      <c r="Q22">
        <f t="shared" si="5"/>
        <v>2.5411769364257633E-3</v>
      </c>
    </row>
    <row r="23" spans="1:17">
      <c r="A23" t="s">
        <v>11</v>
      </c>
      <c r="B23">
        <v>2</v>
      </c>
      <c r="C23">
        <v>7.9044129999999999</v>
      </c>
      <c r="D23">
        <v>5.3655790000000003</v>
      </c>
      <c r="E23">
        <v>-0.74615600000000004</v>
      </c>
      <c r="F23">
        <v>7.9087579999999997</v>
      </c>
      <c r="G23">
        <v>5.3567299999999998</v>
      </c>
      <c r="H23">
        <v>-0.74654299999999996</v>
      </c>
      <c r="I23">
        <v>7.9044129999999999</v>
      </c>
      <c r="J23">
        <v>5.3655790000000003</v>
      </c>
      <c r="K23">
        <v>-0.74615600000000004</v>
      </c>
      <c r="L23">
        <f t="shared" si="0"/>
        <v>7.9058613333333341</v>
      </c>
      <c r="M23">
        <f t="shared" si="1"/>
        <v>2.0482526428369481E-3</v>
      </c>
      <c r="N23">
        <f t="shared" si="2"/>
        <v>5.3626293333333335</v>
      </c>
      <c r="O23">
        <f t="shared" si="3"/>
        <v>4.1714586044800991E-3</v>
      </c>
      <c r="P23">
        <f t="shared" si="4"/>
        <v>-0.74628499999999998</v>
      </c>
      <c r="Q23">
        <f t="shared" si="5"/>
        <v>1.8243354954608929E-4</v>
      </c>
    </row>
    <row r="24" spans="1:17">
      <c r="A24" t="s">
        <v>11</v>
      </c>
      <c r="B24">
        <v>3</v>
      </c>
      <c r="C24">
        <v>7.2912569999999999</v>
      </c>
      <c r="D24">
        <v>5.3822599999999996</v>
      </c>
      <c r="E24">
        <v>-0.66720500000000005</v>
      </c>
      <c r="F24">
        <v>7.2912569999999999</v>
      </c>
      <c r="G24">
        <v>5.3822599999999996</v>
      </c>
      <c r="H24">
        <v>-0.66720500000000005</v>
      </c>
      <c r="I24">
        <v>7.2922700000000003</v>
      </c>
      <c r="J24">
        <v>5.3905640000000004</v>
      </c>
      <c r="K24">
        <v>-0.66506900000000002</v>
      </c>
      <c r="L24">
        <f t="shared" si="0"/>
        <v>7.2915946666666658</v>
      </c>
      <c r="M24">
        <f t="shared" si="1"/>
        <v>4.7753277956149177E-4</v>
      </c>
      <c r="N24">
        <f t="shared" si="2"/>
        <v>5.3850279999999993</v>
      </c>
      <c r="O24">
        <f t="shared" si="3"/>
        <v>3.914543140649083E-3</v>
      </c>
      <c r="P24">
        <f t="shared" si="4"/>
        <v>-0.666493</v>
      </c>
      <c r="Q24">
        <f t="shared" si="5"/>
        <v>1.0069200564096564E-3</v>
      </c>
    </row>
    <row r="25" spans="1:17">
      <c r="A25" t="s">
        <v>11</v>
      </c>
      <c r="B25">
        <v>4</v>
      </c>
      <c r="C25">
        <v>6.6344390000000004</v>
      </c>
      <c r="D25">
        <v>5.3350429999999998</v>
      </c>
      <c r="E25">
        <v>-0.61426800000000004</v>
      </c>
      <c r="F25">
        <v>6.6194350000000002</v>
      </c>
      <c r="G25">
        <v>5.3308070000000001</v>
      </c>
      <c r="H25">
        <v>-0.61459799999999998</v>
      </c>
      <c r="I25">
        <v>6.6344390000000004</v>
      </c>
      <c r="J25">
        <v>5.3350429999999998</v>
      </c>
      <c r="K25">
        <v>-0.61426800000000004</v>
      </c>
      <c r="L25">
        <f t="shared" si="0"/>
        <v>6.629437666666667</v>
      </c>
      <c r="M25">
        <f t="shared" si="1"/>
        <v>7.0729534299487527E-3</v>
      </c>
      <c r="N25">
        <f t="shared" si="2"/>
        <v>5.3336309999999996</v>
      </c>
      <c r="O25">
        <f t="shared" si="3"/>
        <v>1.9968695500706614E-3</v>
      </c>
      <c r="P25">
        <f t="shared" si="4"/>
        <v>-0.61437799999999998</v>
      </c>
      <c r="Q25">
        <f t="shared" si="5"/>
        <v>1.5556349186101286E-4</v>
      </c>
    </row>
    <row r="26" spans="1:17">
      <c r="A26" t="s">
        <v>11</v>
      </c>
      <c r="B26">
        <v>5</v>
      </c>
      <c r="C26">
        <v>5.8798500000000002</v>
      </c>
      <c r="D26">
        <v>5.150576</v>
      </c>
      <c r="E26">
        <v>-0.52624300000000002</v>
      </c>
      <c r="F26">
        <v>5.8079850000000004</v>
      </c>
      <c r="G26">
        <v>5.150576</v>
      </c>
      <c r="H26">
        <v>-0.52624300000000002</v>
      </c>
      <c r="I26">
        <v>5.8029859999999998</v>
      </c>
      <c r="J26">
        <v>5.1685249999999998</v>
      </c>
      <c r="K26">
        <v>-0.52373999999999998</v>
      </c>
      <c r="L26">
        <f t="shared" si="0"/>
        <v>5.8302736666666668</v>
      </c>
      <c r="M26">
        <f t="shared" si="1"/>
        <v>3.5115116596069591E-2</v>
      </c>
      <c r="N26">
        <f t="shared" si="2"/>
        <v>5.1565590000000006</v>
      </c>
      <c r="O26">
        <f t="shared" si="3"/>
        <v>8.4612397436781197E-3</v>
      </c>
      <c r="P26">
        <f t="shared" si="4"/>
        <v>-0.52540866666666675</v>
      </c>
      <c r="Q26">
        <f t="shared" si="5"/>
        <v>1.1799255155399678E-3</v>
      </c>
    </row>
    <row r="27" spans="1:17">
      <c r="A27" t="s">
        <v>11</v>
      </c>
      <c r="B27">
        <v>6</v>
      </c>
      <c r="C27">
        <v>5.1971579999999999</v>
      </c>
      <c r="D27">
        <v>5.3135469999999998</v>
      </c>
      <c r="E27">
        <v>-0.519069</v>
      </c>
      <c r="F27">
        <v>5.1728949999999996</v>
      </c>
      <c r="G27">
        <v>5.2910700000000004</v>
      </c>
      <c r="H27">
        <v>-0.52819199999999999</v>
      </c>
      <c r="I27">
        <v>5.1906290000000004</v>
      </c>
      <c r="J27">
        <v>5.3066170000000001</v>
      </c>
      <c r="K27">
        <v>-0.52222599999999997</v>
      </c>
      <c r="L27">
        <f t="shared" si="0"/>
        <v>5.1868939999999997</v>
      </c>
      <c r="M27">
        <f t="shared" si="1"/>
        <v>1.0251372623540284E-2</v>
      </c>
      <c r="N27">
        <f t="shared" si="2"/>
        <v>5.3037446666666668</v>
      </c>
      <c r="O27">
        <f t="shared" si="3"/>
        <v>9.3982837558541105E-3</v>
      </c>
      <c r="P27">
        <f t="shared" si="4"/>
        <v>-0.5231623333333334</v>
      </c>
      <c r="Q27">
        <f t="shared" si="5"/>
        <v>3.7828404084174036E-3</v>
      </c>
    </row>
    <row r="28" spans="1:17">
      <c r="A28" t="s">
        <v>11</v>
      </c>
      <c r="B28">
        <v>7</v>
      </c>
      <c r="C28">
        <v>4.5931540000000002</v>
      </c>
      <c r="D28">
        <v>5.3432120000000003</v>
      </c>
      <c r="E28">
        <v>-0.515432</v>
      </c>
      <c r="F28">
        <v>4.4741850000000003</v>
      </c>
      <c r="G28">
        <v>5.3346260000000001</v>
      </c>
      <c r="H28">
        <v>-0.51702999999999999</v>
      </c>
      <c r="I28">
        <v>4.5741849999999999</v>
      </c>
      <c r="J28">
        <v>5.3346260000000001</v>
      </c>
      <c r="K28">
        <v>-0.51702999999999999</v>
      </c>
      <c r="L28">
        <f t="shared" si="0"/>
        <v>4.5471746666666668</v>
      </c>
      <c r="M28">
        <f t="shared" si="1"/>
        <v>5.2189234651942785E-2</v>
      </c>
      <c r="N28">
        <f t="shared" si="2"/>
        <v>5.3374880000000005</v>
      </c>
      <c r="O28">
        <f t="shared" si="3"/>
        <v>4.0474792155118944E-3</v>
      </c>
      <c r="P28">
        <f t="shared" si="4"/>
        <v>-0.51649733333333325</v>
      </c>
      <c r="Q28">
        <f t="shared" si="5"/>
        <v>7.5330442422406321E-4</v>
      </c>
    </row>
    <row r="29" spans="1:17">
      <c r="A29" t="s">
        <v>11</v>
      </c>
      <c r="B29">
        <v>8</v>
      </c>
      <c r="C29">
        <v>3.9308100000000001</v>
      </c>
      <c r="D29">
        <v>5.402628</v>
      </c>
      <c r="E29">
        <v>-0.46153300000000003</v>
      </c>
      <c r="F29">
        <v>3.9250799999999999</v>
      </c>
      <c r="G29">
        <v>5.3965170000000002</v>
      </c>
      <c r="H29">
        <v>-0.46365400000000001</v>
      </c>
      <c r="I29">
        <v>3.9200390000000001</v>
      </c>
      <c r="J29">
        <v>5.4042389999999996</v>
      </c>
      <c r="K29">
        <v>-0.46033099999999999</v>
      </c>
      <c r="L29">
        <f t="shared" si="0"/>
        <v>3.9253096666666671</v>
      </c>
      <c r="M29">
        <f t="shared" si="1"/>
        <v>4.4002401702129728E-3</v>
      </c>
      <c r="N29">
        <f t="shared" si="2"/>
        <v>5.4011279999999999</v>
      </c>
      <c r="O29">
        <f t="shared" si="3"/>
        <v>3.3261410072332152E-3</v>
      </c>
      <c r="P29">
        <f t="shared" si="4"/>
        <v>-0.46183933333333332</v>
      </c>
      <c r="Q29">
        <f t="shared" si="5"/>
        <v>1.3737933695509815E-3</v>
      </c>
    </row>
    <row r="30" spans="1:17">
      <c r="A30" t="s">
        <v>11</v>
      </c>
      <c r="B30">
        <v>9</v>
      </c>
      <c r="C30">
        <v>3.3649480000000001</v>
      </c>
      <c r="D30">
        <v>5.4366690000000002</v>
      </c>
      <c r="E30">
        <v>-0.40619</v>
      </c>
      <c r="F30">
        <v>3.3488799999999999</v>
      </c>
      <c r="G30">
        <v>5.4315150000000001</v>
      </c>
      <c r="H30">
        <v>-0.40656300000000001</v>
      </c>
      <c r="I30">
        <v>3.3649480000000001</v>
      </c>
      <c r="J30">
        <v>5.4366690000000002</v>
      </c>
      <c r="K30">
        <v>-0.40601900000000002</v>
      </c>
      <c r="L30">
        <f t="shared" si="0"/>
        <v>3.3595919999999997</v>
      </c>
      <c r="M30">
        <f t="shared" si="1"/>
        <v>7.5745278400703884E-3</v>
      </c>
      <c r="N30">
        <f t="shared" si="2"/>
        <v>5.4349510000000008</v>
      </c>
      <c r="O30">
        <f t="shared" si="3"/>
        <v>2.4296189001570259E-3</v>
      </c>
      <c r="P30">
        <f t="shared" si="4"/>
        <v>-0.4062573333333333</v>
      </c>
      <c r="Q30">
        <f t="shared" si="5"/>
        <v>2.2713334311710897E-4</v>
      </c>
    </row>
    <row r="31" spans="1:17">
      <c r="A31" t="s">
        <v>11</v>
      </c>
      <c r="B31">
        <v>10</v>
      </c>
      <c r="C31">
        <v>2.6579999999999999</v>
      </c>
      <c r="D31">
        <v>5.7369969999999997</v>
      </c>
      <c r="E31">
        <v>-0.235899</v>
      </c>
      <c r="F31">
        <v>2.674401</v>
      </c>
      <c r="G31">
        <v>5.7395480000000001</v>
      </c>
      <c r="H31">
        <v>-0.236706</v>
      </c>
      <c r="I31">
        <v>2.6579999999999999</v>
      </c>
      <c r="J31">
        <v>5.7359970000000002</v>
      </c>
      <c r="K31">
        <v>-0.235899</v>
      </c>
      <c r="L31">
        <f t="shared" si="0"/>
        <v>2.6634670000000003</v>
      </c>
      <c r="M31">
        <f t="shared" si="1"/>
        <v>7.7315055454937626E-3</v>
      </c>
      <c r="N31">
        <f t="shared" si="2"/>
        <v>5.737514</v>
      </c>
      <c r="O31">
        <f t="shared" si="3"/>
        <v>1.4950734653075303E-3</v>
      </c>
      <c r="P31">
        <f t="shared" si="4"/>
        <v>-0.23616800000000002</v>
      </c>
      <c r="Q31">
        <f t="shared" si="5"/>
        <v>3.8042344827836361E-4</v>
      </c>
    </row>
    <row r="32" spans="1:17">
      <c r="A32" t="s">
        <v>12</v>
      </c>
      <c r="B32">
        <v>1</v>
      </c>
      <c r="C32">
        <v>8.0235479999999999</v>
      </c>
      <c r="D32">
        <v>6.6211130000000002</v>
      </c>
      <c r="E32">
        <v>-0.688141</v>
      </c>
      <c r="F32">
        <v>8.0720559999999999</v>
      </c>
      <c r="G32">
        <v>6.7743260000000003</v>
      </c>
      <c r="H32">
        <v>-0.68943200000000004</v>
      </c>
      <c r="I32">
        <v>8.0720559999999999</v>
      </c>
      <c r="J32">
        <v>6.7743260000000003</v>
      </c>
      <c r="K32">
        <v>-0.68943200000000004</v>
      </c>
      <c r="L32">
        <f t="shared" si="0"/>
        <v>8.0558866666666678</v>
      </c>
      <c r="M32">
        <f t="shared" si="1"/>
        <v>2.2866890494531361E-2</v>
      </c>
      <c r="N32">
        <f t="shared" si="2"/>
        <v>6.7232549999999991</v>
      </c>
      <c r="O32">
        <f t="shared" si="3"/>
        <v>7.2225300843956355E-2</v>
      </c>
      <c r="P32">
        <f t="shared" si="4"/>
        <v>-0.68900166666666662</v>
      </c>
      <c r="Q32">
        <f t="shared" si="5"/>
        <v>6.0858323634124171E-4</v>
      </c>
    </row>
    <row r="33" spans="1:17">
      <c r="A33" t="s">
        <v>12</v>
      </c>
      <c r="B33">
        <v>2</v>
      </c>
      <c r="C33">
        <v>7.4223970000000001</v>
      </c>
      <c r="D33">
        <v>6.7796649999999996</v>
      </c>
      <c r="E33">
        <v>-0.593503</v>
      </c>
      <c r="F33">
        <v>7.4500580000000003</v>
      </c>
      <c r="G33">
        <v>6.7863879999999996</v>
      </c>
      <c r="H33">
        <v>-0.59974300000000003</v>
      </c>
      <c r="I33">
        <v>7.4297800000000001</v>
      </c>
      <c r="J33">
        <v>6.7912730000000003</v>
      </c>
      <c r="K33">
        <v>-0.59468100000000002</v>
      </c>
      <c r="L33">
        <f t="shared" si="0"/>
        <v>7.4340783333333329</v>
      </c>
      <c r="M33">
        <f t="shared" si="1"/>
        <v>1.1694428369479664E-2</v>
      </c>
      <c r="N33">
        <f t="shared" si="2"/>
        <v>6.7857753333333335</v>
      </c>
      <c r="O33">
        <f t="shared" si="3"/>
        <v>4.7587068504890669E-3</v>
      </c>
      <c r="P33">
        <f t="shared" si="4"/>
        <v>-0.59597566666666668</v>
      </c>
      <c r="Q33">
        <f t="shared" si="5"/>
        <v>2.7069689486377449E-3</v>
      </c>
    </row>
    <row r="34" spans="1:17">
      <c r="A34" t="s">
        <v>12</v>
      </c>
      <c r="B34">
        <v>3</v>
      </c>
      <c r="C34">
        <v>6.6708429999999996</v>
      </c>
      <c r="D34">
        <v>6.7452589999999999</v>
      </c>
      <c r="E34">
        <v>-0.52689600000000003</v>
      </c>
      <c r="F34">
        <v>6.7325910000000002</v>
      </c>
      <c r="G34">
        <v>6.7224180000000002</v>
      </c>
      <c r="H34">
        <v>-0.54335500000000003</v>
      </c>
      <c r="I34">
        <v>6.8064499999999999</v>
      </c>
      <c r="J34">
        <v>6.7584289999999996</v>
      </c>
      <c r="K34">
        <v>-0.55053099999999999</v>
      </c>
      <c r="L34">
        <f t="shared" si="0"/>
        <v>6.7366280000000005</v>
      </c>
      <c r="M34">
        <f t="shared" si="1"/>
        <v>5.5434872532248838E-2</v>
      </c>
      <c r="N34">
        <f t="shared" si="2"/>
        <v>6.7420353333333338</v>
      </c>
      <c r="O34">
        <f t="shared" si="3"/>
        <v>1.4877097618673734E-2</v>
      </c>
      <c r="P34">
        <f t="shared" si="4"/>
        <v>-0.54026066666666672</v>
      </c>
      <c r="Q34">
        <f t="shared" si="5"/>
        <v>9.8939200297736025E-3</v>
      </c>
    </row>
    <row r="35" spans="1:17">
      <c r="A35" t="s">
        <v>12</v>
      </c>
      <c r="B35">
        <v>4</v>
      </c>
      <c r="C35">
        <v>6.016788</v>
      </c>
      <c r="D35">
        <v>6.65618</v>
      </c>
      <c r="E35">
        <v>-0.533026</v>
      </c>
      <c r="F35">
        <v>6.006087</v>
      </c>
      <c r="G35">
        <v>6.6395670000000004</v>
      </c>
      <c r="H35">
        <v>-0.54293800000000003</v>
      </c>
      <c r="I35">
        <v>6.0027629999999998</v>
      </c>
      <c r="J35">
        <v>6.6456249999999999</v>
      </c>
      <c r="K35">
        <v>-0.540551</v>
      </c>
      <c r="L35">
        <f t="shared" si="0"/>
        <v>6.0085459999999999</v>
      </c>
      <c r="M35">
        <f t="shared" si="1"/>
        <v>5.9838765027363993E-3</v>
      </c>
      <c r="N35">
        <f t="shared" si="2"/>
        <v>6.6471240000000007</v>
      </c>
      <c r="O35">
        <f t="shared" si="3"/>
        <v>6.8645559701021059E-3</v>
      </c>
      <c r="P35">
        <f t="shared" si="4"/>
        <v>-0.53883833333333331</v>
      </c>
      <c r="Q35">
        <f t="shared" si="5"/>
        <v>4.2238889137328943E-3</v>
      </c>
    </row>
    <row r="36" spans="1:17">
      <c r="A36" t="s">
        <v>12</v>
      </c>
      <c r="B36">
        <v>5</v>
      </c>
      <c r="C36">
        <v>5.2956070000000004</v>
      </c>
      <c r="D36">
        <v>6.5231440000000003</v>
      </c>
      <c r="E36">
        <v>-0.52682099999999998</v>
      </c>
      <c r="F36">
        <v>5.3310690000000003</v>
      </c>
      <c r="G36">
        <v>6.5099980000000004</v>
      </c>
      <c r="H36">
        <v>-0.52356999999999998</v>
      </c>
      <c r="I36">
        <v>5.3442020000000001</v>
      </c>
      <c r="J36">
        <v>6.5238889999999996</v>
      </c>
      <c r="K36">
        <v>-0.52505900000000005</v>
      </c>
      <c r="L36">
        <f t="shared" si="0"/>
        <v>5.323626</v>
      </c>
      <c r="M36">
        <f t="shared" si="1"/>
        <v>2.0525060990571071E-2</v>
      </c>
      <c r="N36">
        <f t="shared" si="2"/>
        <v>6.519010333333334</v>
      </c>
      <c r="O36">
        <f t="shared" si="3"/>
        <v>6.3799357537689455E-3</v>
      </c>
      <c r="P36">
        <f t="shared" si="4"/>
        <v>-0.52515000000000001</v>
      </c>
      <c r="Q36">
        <f t="shared" si="5"/>
        <v>1.3287741217628624E-3</v>
      </c>
    </row>
    <row r="37" spans="1:17">
      <c r="A37" t="s">
        <v>12</v>
      </c>
      <c r="B37">
        <v>6</v>
      </c>
      <c r="C37">
        <v>4.6428779999999996</v>
      </c>
      <c r="D37">
        <v>6.7334180000000003</v>
      </c>
      <c r="E37">
        <v>-0.45447199999999999</v>
      </c>
      <c r="F37">
        <v>4.6613069999999999</v>
      </c>
      <c r="G37">
        <v>6.7298470000000004</v>
      </c>
      <c r="H37">
        <v>-0.45562799999999998</v>
      </c>
      <c r="I37">
        <v>4.6455580000000003</v>
      </c>
      <c r="J37">
        <v>6.7435559999999999</v>
      </c>
      <c r="K37">
        <v>-0.44863599999999998</v>
      </c>
      <c r="L37">
        <f t="shared" si="0"/>
        <v>4.6499143333333341</v>
      </c>
      <c r="M37">
        <f t="shared" si="1"/>
        <v>8.1297904988723718E-3</v>
      </c>
      <c r="N37">
        <f t="shared" si="2"/>
        <v>6.735606999999999</v>
      </c>
      <c r="O37">
        <f t="shared" si="3"/>
        <v>5.8067754103860586E-3</v>
      </c>
      <c r="P37">
        <f t="shared" si="4"/>
        <v>-0.45291199999999998</v>
      </c>
      <c r="Q37">
        <f t="shared" si="5"/>
        <v>3.0601978149568487E-3</v>
      </c>
    </row>
    <row r="38" spans="1:17">
      <c r="A38" t="s">
        <v>12</v>
      </c>
      <c r="B38">
        <v>7</v>
      </c>
      <c r="C38">
        <v>3.9723380000000001</v>
      </c>
      <c r="D38">
        <v>6.7356230000000004</v>
      </c>
      <c r="E38">
        <v>-0.42453400000000002</v>
      </c>
      <c r="F38">
        <v>3.9798979999999999</v>
      </c>
      <c r="G38">
        <v>6.7660929999999997</v>
      </c>
      <c r="H38">
        <v>-0.41709600000000002</v>
      </c>
      <c r="I38">
        <v>3.9930639999999999</v>
      </c>
      <c r="J38">
        <v>6.7851749999999997</v>
      </c>
      <c r="K38">
        <v>-0.409271</v>
      </c>
      <c r="L38">
        <f t="shared" si="0"/>
        <v>3.9817666666666667</v>
      </c>
      <c r="M38">
        <f t="shared" si="1"/>
        <v>8.5639050801734704E-3</v>
      </c>
      <c r="N38">
        <f t="shared" si="2"/>
        <v>6.7622970000000002</v>
      </c>
      <c r="O38">
        <f t="shared" si="3"/>
        <v>2.040681892570852E-2</v>
      </c>
      <c r="P38">
        <f t="shared" si="4"/>
        <v>-0.41696700000000003</v>
      </c>
      <c r="Q38">
        <f t="shared" si="5"/>
        <v>6.231761281264455E-3</v>
      </c>
    </row>
    <row r="39" spans="1:17">
      <c r="A39" t="s">
        <v>12</v>
      </c>
      <c r="B39">
        <v>8</v>
      </c>
      <c r="C39">
        <v>3.2638799999999999</v>
      </c>
      <c r="D39">
        <v>7.0170659999999998</v>
      </c>
      <c r="E39">
        <v>-0.35878599999999999</v>
      </c>
      <c r="F39">
        <v>3.2607919999999999</v>
      </c>
      <c r="G39">
        <v>6.9990329999999998</v>
      </c>
      <c r="H39">
        <v>-0.37977100000000003</v>
      </c>
      <c r="I39">
        <v>3.2580710000000002</v>
      </c>
      <c r="J39">
        <v>7.019806</v>
      </c>
      <c r="K39">
        <v>-0.34966599999999998</v>
      </c>
      <c r="L39">
        <f t="shared" si="0"/>
        <v>3.2609143333333335</v>
      </c>
      <c r="M39">
        <f t="shared" si="1"/>
        <v>2.3730914202551023E-3</v>
      </c>
      <c r="N39">
        <f t="shared" si="2"/>
        <v>7.0119683333333329</v>
      </c>
      <c r="O39">
        <f t="shared" si="3"/>
        <v>9.2148082393986672E-3</v>
      </c>
      <c r="P39">
        <f t="shared" si="4"/>
        <v>-0.36274099999999998</v>
      </c>
      <c r="Q39">
        <f t="shared" si="5"/>
        <v>1.2604477379090357E-2</v>
      </c>
    </row>
    <row r="40" spans="1:17">
      <c r="A40" t="s">
        <v>12</v>
      </c>
      <c r="B40">
        <v>9</v>
      </c>
      <c r="C40">
        <v>2.716818</v>
      </c>
      <c r="D40">
        <v>7.196269</v>
      </c>
      <c r="E40">
        <v>-0.23794299999999999</v>
      </c>
      <c r="F40">
        <v>2.7103060000000001</v>
      </c>
      <c r="G40">
        <v>7.2156479999999998</v>
      </c>
      <c r="H40">
        <v>-0.23627400000000001</v>
      </c>
      <c r="I40">
        <v>2.7013919999999998</v>
      </c>
      <c r="J40">
        <v>7.2111559999999999</v>
      </c>
      <c r="K40">
        <v>-0.24599599999999999</v>
      </c>
      <c r="L40">
        <f t="shared" si="0"/>
        <v>2.709505333333333</v>
      </c>
      <c r="M40">
        <f t="shared" si="1"/>
        <v>6.3230356282055304E-3</v>
      </c>
      <c r="N40">
        <f t="shared" si="2"/>
        <v>7.2076909999999996</v>
      </c>
      <c r="O40">
        <f t="shared" si="3"/>
        <v>8.2821526589809593E-3</v>
      </c>
      <c r="P40">
        <f t="shared" si="4"/>
        <v>-0.24007100000000001</v>
      </c>
      <c r="Q40">
        <f t="shared" si="5"/>
        <v>4.2446522433135349E-3</v>
      </c>
    </row>
    <row r="41" spans="1:17">
      <c r="A41" t="s">
        <v>12</v>
      </c>
      <c r="B41">
        <v>10</v>
      </c>
      <c r="C41">
        <v>2.0202599999999999</v>
      </c>
      <c r="D41">
        <v>7.2425629999999996</v>
      </c>
      <c r="E41">
        <v>-8.7229000000000001E-2</v>
      </c>
      <c r="F41">
        <v>2.010599</v>
      </c>
      <c r="G41">
        <v>7.2319089999999999</v>
      </c>
      <c r="H41">
        <v>-8.6954000000000004E-2</v>
      </c>
      <c r="I41">
        <v>2.0063399999999998</v>
      </c>
      <c r="J41">
        <v>7.2074980000000002</v>
      </c>
      <c r="K41">
        <v>-8.5099999999999995E-2</v>
      </c>
      <c r="L41">
        <f t="shared" si="0"/>
        <v>2.0123996666666666</v>
      </c>
      <c r="M41">
        <f t="shared" si="1"/>
        <v>5.8237101767020264E-3</v>
      </c>
      <c r="N41">
        <f t="shared" si="2"/>
        <v>7.2273233333333335</v>
      </c>
      <c r="O41">
        <f t="shared" si="3"/>
        <v>1.4677870198211634E-2</v>
      </c>
      <c r="P41">
        <f t="shared" si="4"/>
        <v>-8.6427666666666667E-2</v>
      </c>
      <c r="Q41">
        <f t="shared" si="5"/>
        <v>9.4549117159049227E-4</v>
      </c>
    </row>
    <row r="42" spans="1:17">
      <c r="A42" t="s">
        <v>13</v>
      </c>
      <c r="B42">
        <v>1</v>
      </c>
      <c r="C42">
        <v>7.9906459999999999</v>
      </c>
      <c r="D42">
        <v>8.2553040000000006</v>
      </c>
      <c r="E42">
        <v>-0.58972199999999997</v>
      </c>
      <c r="F42">
        <v>7.9726740999999999</v>
      </c>
      <c r="G42">
        <v>8.2482699999999998</v>
      </c>
      <c r="H42">
        <v>-0.58881499999999998</v>
      </c>
      <c r="I42">
        <v>7.9906459999999999</v>
      </c>
      <c r="J42">
        <v>8.2553040000000006</v>
      </c>
      <c r="K42">
        <v>-0.58972199999999997</v>
      </c>
      <c r="L42">
        <f t="shared" si="0"/>
        <v>7.9846553666666678</v>
      </c>
      <c r="M42">
        <f t="shared" si="1"/>
        <v>8.4720349072043618E-3</v>
      </c>
      <c r="N42">
        <f t="shared" si="2"/>
        <v>8.2529593333333349</v>
      </c>
      <c r="O42">
        <f t="shared" si="3"/>
        <v>3.3158593992445285E-3</v>
      </c>
      <c r="P42">
        <f t="shared" si="4"/>
        <v>-0.58941966666666668</v>
      </c>
      <c r="Q42">
        <f t="shared" si="5"/>
        <v>4.2756390035746155E-4</v>
      </c>
    </row>
    <row r="43" spans="1:17">
      <c r="A43" t="s">
        <v>13</v>
      </c>
      <c r="B43">
        <v>2</v>
      </c>
      <c r="C43">
        <v>7.2943249999999997</v>
      </c>
      <c r="D43">
        <v>8.3294449999999998</v>
      </c>
      <c r="E43">
        <v>-0.50806600000000002</v>
      </c>
      <c r="F43">
        <v>7.285431</v>
      </c>
      <c r="G43">
        <v>8.3595009999999998</v>
      </c>
      <c r="H43">
        <v>-0.51218699999999995</v>
      </c>
      <c r="I43">
        <v>7.2943249999999997</v>
      </c>
      <c r="J43">
        <v>8.3294449999999998</v>
      </c>
      <c r="K43">
        <v>-0.50806600000000002</v>
      </c>
      <c r="L43">
        <f t="shared" si="0"/>
        <v>7.2913603333333334</v>
      </c>
      <c r="M43">
        <f t="shared" si="1"/>
        <v>4.1926718079153113E-3</v>
      </c>
      <c r="N43">
        <f t="shared" si="2"/>
        <v>8.3394636666666671</v>
      </c>
      <c r="O43">
        <f t="shared" si="3"/>
        <v>1.4168534276895288E-2</v>
      </c>
      <c r="P43">
        <f t="shared" si="4"/>
        <v>-0.50943966666666662</v>
      </c>
      <c r="Q43">
        <f t="shared" si="5"/>
        <v>1.9426580301798086E-3</v>
      </c>
    </row>
    <row r="44" spans="1:17">
      <c r="A44" t="s">
        <v>13</v>
      </c>
      <c r="B44">
        <v>3</v>
      </c>
      <c r="C44">
        <v>6.6236709999999999</v>
      </c>
      <c r="D44">
        <v>8.3735970000000002</v>
      </c>
      <c r="E44">
        <v>-0.44327800000000001</v>
      </c>
      <c r="F44">
        <v>6.6288280000000004</v>
      </c>
      <c r="G44">
        <v>8.3760809999999992</v>
      </c>
      <c r="H44">
        <v>-0.44435000000000002</v>
      </c>
      <c r="I44">
        <v>6.6236709999999999</v>
      </c>
      <c r="J44">
        <v>8.3735970000000002</v>
      </c>
      <c r="K44">
        <v>-0.44327800000000001</v>
      </c>
      <c r="L44">
        <f t="shared" si="0"/>
        <v>6.6253900000000003</v>
      </c>
      <c r="M44">
        <f t="shared" si="1"/>
        <v>2.4310331137195962E-3</v>
      </c>
      <c r="N44">
        <f t="shared" si="2"/>
        <v>8.3744250000000005</v>
      </c>
      <c r="O44">
        <f t="shared" si="3"/>
        <v>1.1709688296444713E-3</v>
      </c>
      <c r="P44">
        <f t="shared" si="4"/>
        <v>-0.44363533333333338</v>
      </c>
      <c r="Q44">
        <f t="shared" si="5"/>
        <v>5.0534564628799418E-4</v>
      </c>
    </row>
    <row r="45" spans="1:17">
      <c r="A45" t="s">
        <v>13</v>
      </c>
      <c r="B45">
        <v>4</v>
      </c>
      <c r="C45">
        <v>5.9091750000000003</v>
      </c>
      <c r="D45">
        <v>8.4046339999999997</v>
      </c>
      <c r="E45">
        <v>-0.35834100000000002</v>
      </c>
      <c r="F45">
        <v>5.9135900000000001</v>
      </c>
      <c r="G45">
        <v>8.384252</v>
      </c>
      <c r="H45">
        <v>-0.35914699999999999</v>
      </c>
      <c r="I45">
        <v>5.9434100000000001</v>
      </c>
      <c r="J45">
        <v>8.3867220000000007</v>
      </c>
      <c r="K45">
        <v>-0.36135600000000001</v>
      </c>
      <c r="L45">
        <f t="shared" si="0"/>
        <v>5.9220583333333332</v>
      </c>
      <c r="M45">
        <f t="shared" si="1"/>
        <v>1.5205115550001152E-2</v>
      </c>
      <c r="N45">
        <f t="shared" si="2"/>
        <v>8.3918693333333323</v>
      </c>
      <c r="O45">
        <f t="shared" si="3"/>
        <v>9.0821348934167073E-3</v>
      </c>
      <c r="P45">
        <f t="shared" si="4"/>
        <v>-0.35961466666666669</v>
      </c>
      <c r="Q45">
        <f t="shared" si="5"/>
        <v>1.2745169891200164E-3</v>
      </c>
    </row>
    <row r="46" spans="1:17">
      <c r="A46" t="s">
        <v>13</v>
      </c>
      <c r="B46">
        <v>5</v>
      </c>
      <c r="C46">
        <v>5.2925690000000003</v>
      </c>
      <c r="D46">
        <v>8.4235989999999994</v>
      </c>
      <c r="E46">
        <v>-0.31339299999999998</v>
      </c>
      <c r="F46">
        <v>5.2868639999999996</v>
      </c>
      <c r="G46">
        <v>8.4272930000000006</v>
      </c>
      <c r="H46">
        <v>-0.31370900000000002</v>
      </c>
      <c r="I46">
        <v>5.293507</v>
      </c>
      <c r="J46">
        <v>8.4152570000000004</v>
      </c>
      <c r="K46">
        <v>-0.31396099999999999</v>
      </c>
      <c r="L46">
        <f t="shared" si="0"/>
        <v>5.2909800000000002</v>
      </c>
      <c r="M46">
        <f t="shared" si="1"/>
        <v>2.9355354991326744E-3</v>
      </c>
      <c r="N46">
        <f t="shared" si="2"/>
        <v>8.422049666666668</v>
      </c>
      <c r="O46">
        <f t="shared" si="3"/>
        <v>5.034325465133176E-3</v>
      </c>
      <c r="P46">
        <f t="shared" si="4"/>
        <v>-0.31368766666666664</v>
      </c>
      <c r="Q46">
        <f t="shared" si="5"/>
        <v>2.3237517557223088E-4</v>
      </c>
    </row>
    <row r="47" spans="1:17">
      <c r="A47" t="s">
        <v>13</v>
      </c>
      <c r="B47">
        <v>6</v>
      </c>
      <c r="C47">
        <v>4.5649329999999999</v>
      </c>
      <c r="D47">
        <v>8.4986239999999995</v>
      </c>
      <c r="E47">
        <v>-0.23863599999999999</v>
      </c>
      <c r="F47">
        <v>4.5770730000000004</v>
      </c>
      <c r="G47">
        <v>8.4909619999999997</v>
      </c>
      <c r="H47">
        <v>-0.24033099999999999</v>
      </c>
      <c r="I47">
        <v>4.5649329999999999</v>
      </c>
      <c r="J47">
        <v>8.4986239999999995</v>
      </c>
      <c r="K47">
        <v>-0.23863599999999999</v>
      </c>
      <c r="L47">
        <f t="shared" si="0"/>
        <v>4.5689796666666664</v>
      </c>
      <c r="M47">
        <f t="shared" si="1"/>
        <v>5.7228508824033533E-3</v>
      </c>
      <c r="N47">
        <f t="shared" si="2"/>
        <v>8.4960699999999996</v>
      </c>
      <c r="O47">
        <f t="shared" si="3"/>
        <v>3.6119014383008074E-3</v>
      </c>
      <c r="P47">
        <f t="shared" si="4"/>
        <v>-0.239201</v>
      </c>
      <c r="Q47">
        <f t="shared" si="5"/>
        <v>7.9903066274079968E-4</v>
      </c>
    </row>
    <row r="48" spans="1:17">
      <c r="A48" t="s">
        <v>13</v>
      </c>
      <c r="B48">
        <v>7</v>
      </c>
      <c r="C48">
        <v>3.895492</v>
      </c>
      <c r="D48">
        <v>8.5429840000000006</v>
      </c>
      <c r="E48">
        <v>-0.180983</v>
      </c>
      <c r="F48">
        <v>3.895492</v>
      </c>
      <c r="G48">
        <v>8.5429840000000006</v>
      </c>
      <c r="H48">
        <v>-0.180983</v>
      </c>
      <c r="I48">
        <v>3.9119090000000001</v>
      </c>
      <c r="J48">
        <v>8.5313250000000007</v>
      </c>
      <c r="K48">
        <v>-0.18479999999999999</v>
      </c>
      <c r="L48">
        <f t="shared" si="0"/>
        <v>3.900964333333333</v>
      </c>
      <c r="M48">
        <f t="shared" si="1"/>
        <v>7.7390480178264271E-3</v>
      </c>
      <c r="N48">
        <f t="shared" si="2"/>
        <v>8.5390976666666685</v>
      </c>
      <c r="O48">
        <f t="shared" si="3"/>
        <v>5.4961053079025744E-3</v>
      </c>
      <c r="P48">
        <f t="shared" si="4"/>
        <v>-0.18225533333333332</v>
      </c>
      <c r="Q48">
        <f t="shared" si="5"/>
        <v>1.7993510558593617E-3</v>
      </c>
    </row>
    <row r="49" spans="1:17">
      <c r="A49" t="s">
        <v>13</v>
      </c>
      <c r="B49">
        <v>8</v>
      </c>
      <c r="C49">
        <v>3.255916</v>
      </c>
      <c r="D49">
        <v>8.5595999999999997</v>
      </c>
      <c r="E49">
        <v>-0.130443</v>
      </c>
      <c r="F49">
        <v>3.264907</v>
      </c>
      <c r="G49">
        <v>8.5643440000000002</v>
      </c>
      <c r="H49">
        <v>-0.13178100000000001</v>
      </c>
      <c r="I49">
        <v>3.2661410000000002</v>
      </c>
      <c r="J49">
        <v>8.551463</v>
      </c>
      <c r="K49">
        <v>-0.131913</v>
      </c>
      <c r="L49">
        <f t="shared" si="0"/>
        <v>3.2623213333333339</v>
      </c>
      <c r="M49">
        <f t="shared" si="1"/>
        <v>4.557185559336218E-3</v>
      </c>
      <c r="N49">
        <f t="shared" si="2"/>
        <v>8.5584690000000005</v>
      </c>
      <c r="O49">
        <f t="shared" si="3"/>
        <v>5.3191108906157367E-3</v>
      </c>
      <c r="P49">
        <f t="shared" si="4"/>
        <v>-0.131379</v>
      </c>
      <c r="Q49">
        <f t="shared" si="5"/>
        <v>6.6404216733578086E-4</v>
      </c>
    </row>
    <row r="50" spans="1:17">
      <c r="A50" t="s">
        <v>13</v>
      </c>
      <c r="B50">
        <v>9</v>
      </c>
      <c r="C50">
        <v>2.5882839999999998</v>
      </c>
      <c r="D50">
        <v>8.5944430000000001</v>
      </c>
      <c r="E50">
        <v>-5.3690000000000002E-2</v>
      </c>
      <c r="F50">
        <v>2.582525</v>
      </c>
      <c r="G50">
        <v>8.6117369999999998</v>
      </c>
      <c r="H50">
        <v>-5.3488000000000001E-2</v>
      </c>
      <c r="I50">
        <v>2.5840640000000001</v>
      </c>
      <c r="J50">
        <v>8.6225400000000008</v>
      </c>
      <c r="K50">
        <v>-5.4429999999999999E-2</v>
      </c>
      <c r="L50">
        <f t="shared" si="0"/>
        <v>2.5849576666666665</v>
      </c>
      <c r="M50">
        <f t="shared" si="1"/>
        <v>2.4345431239191011E-3</v>
      </c>
      <c r="N50">
        <f t="shared" si="2"/>
        <v>8.6095733333333335</v>
      </c>
      <c r="O50">
        <f t="shared" si="3"/>
        <v>1.1572134413706683E-2</v>
      </c>
      <c r="P50">
        <f t="shared" si="4"/>
        <v>-5.3869333333333332E-2</v>
      </c>
      <c r="Q50">
        <f t="shared" si="5"/>
        <v>4.049373065330256E-4</v>
      </c>
    </row>
    <row r="51" spans="1:17">
      <c r="A51" t="s">
        <v>13</v>
      </c>
      <c r="B51">
        <v>10</v>
      </c>
      <c r="C51">
        <v>1.861294</v>
      </c>
      <c r="D51">
        <v>8.6549060000000004</v>
      </c>
      <c r="E51">
        <v>2.9108999999999999E-2</v>
      </c>
      <c r="F51">
        <v>1.8655489999999999</v>
      </c>
      <c r="G51">
        <v>8.6270959999999999</v>
      </c>
      <c r="H51">
        <v>2.3748999999999999E-2</v>
      </c>
      <c r="I51">
        <v>1.867383</v>
      </c>
      <c r="J51">
        <v>7.6574059999999999</v>
      </c>
      <c r="K51">
        <v>2.6738000000000001E-2</v>
      </c>
      <c r="L51">
        <f t="shared" si="0"/>
        <v>1.8647419999999999</v>
      </c>
      <c r="M51">
        <f t="shared" si="1"/>
        <v>2.5504793013601643E-3</v>
      </c>
      <c r="N51">
        <f t="shared" si="2"/>
        <v>8.3131360000000001</v>
      </c>
      <c r="O51">
        <f t="shared" si="3"/>
        <v>0.46381010747934343</v>
      </c>
      <c r="P51">
        <f t="shared" si="4"/>
        <v>2.6532E-2</v>
      </c>
      <c r="Q51">
        <f t="shared" si="5"/>
        <v>2.1930537309119143E-3</v>
      </c>
    </row>
    <row r="52" spans="1:17">
      <c r="A52" t="s">
        <v>14</v>
      </c>
      <c r="B52">
        <v>1</v>
      </c>
      <c r="C52">
        <v>8.2806160000000002</v>
      </c>
      <c r="D52">
        <v>9.7388949999999994</v>
      </c>
      <c r="E52">
        <v>-0.59374499999999997</v>
      </c>
      <c r="F52">
        <v>8.2668289999999995</v>
      </c>
      <c r="G52">
        <v>9.8394080000000006</v>
      </c>
      <c r="H52">
        <v>-0.56909799999999999</v>
      </c>
      <c r="I52">
        <v>8.3193730000000006</v>
      </c>
      <c r="J52">
        <v>9.8409859999999991</v>
      </c>
      <c r="K52">
        <v>-0.53850200000000004</v>
      </c>
      <c r="L52">
        <f t="shared" si="0"/>
        <v>8.2889393333333334</v>
      </c>
      <c r="M52">
        <f t="shared" si="1"/>
        <v>2.2243746571914833E-2</v>
      </c>
      <c r="N52">
        <f t="shared" si="2"/>
        <v>9.8064296666666664</v>
      </c>
      <c r="O52">
        <f t="shared" si="3"/>
        <v>4.7758565879734163E-2</v>
      </c>
      <c r="P52">
        <f t="shared" si="4"/>
        <v>-0.56711500000000004</v>
      </c>
      <c r="Q52">
        <f t="shared" si="5"/>
        <v>2.259640795937853E-2</v>
      </c>
    </row>
    <row r="53" spans="1:17">
      <c r="A53" t="s">
        <v>14</v>
      </c>
      <c r="B53">
        <v>2</v>
      </c>
      <c r="C53">
        <v>7.8788429999999998</v>
      </c>
      <c r="D53">
        <v>9.8782460000000007</v>
      </c>
      <c r="E53">
        <v>-0.49041200000000001</v>
      </c>
      <c r="F53">
        <v>7.8801199999999998</v>
      </c>
      <c r="G53">
        <v>9.8629899999999999</v>
      </c>
      <c r="H53">
        <v>-0.491288</v>
      </c>
      <c r="I53">
        <v>7.8788429999999998</v>
      </c>
      <c r="J53">
        <v>9.8782460000000007</v>
      </c>
      <c r="K53">
        <v>-0.49041200000000001</v>
      </c>
      <c r="L53">
        <f t="shared" si="0"/>
        <v>7.8792686666666656</v>
      </c>
      <c r="M53">
        <f t="shared" si="1"/>
        <v>6.0198357305013453E-4</v>
      </c>
      <c r="N53">
        <f t="shared" si="2"/>
        <v>9.8731606666666671</v>
      </c>
      <c r="O53">
        <f t="shared" si="3"/>
        <v>7.1917473691883674E-3</v>
      </c>
      <c r="P53">
        <f t="shared" si="4"/>
        <v>-0.49070400000000003</v>
      </c>
      <c r="Q53">
        <f t="shared" si="5"/>
        <v>4.1295036021293807E-4</v>
      </c>
    </row>
    <row r="54" spans="1:17">
      <c r="A54" t="s">
        <v>14</v>
      </c>
      <c r="B54">
        <v>3</v>
      </c>
      <c r="C54">
        <v>7.1326200000000002</v>
      </c>
      <c r="D54">
        <v>9.8740079999999999</v>
      </c>
      <c r="E54">
        <v>-0.38734099999999999</v>
      </c>
      <c r="F54">
        <v>7.1350889999999998</v>
      </c>
      <c r="G54">
        <v>9.8697510000000008</v>
      </c>
      <c r="H54">
        <v>-0.38892599999999999</v>
      </c>
      <c r="I54">
        <v>7.1326200000000002</v>
      </c>
      <c r="J54">
        <v>9.8740079999999999</v>
      </c>
      <c r="K54">
        <v>-0.38734099999999999</v>
      </c>
      <c r="L54">
        <f t="shared" si="0"/>
        <v>7.1334429999999998</v>
      </c>
      <c r="M54">
        <f t="shared" si="1"/>
        <v>1.1638977618328736E-3</v>
      </c>
      <c r="N54">
        <f t="shared" si="2"/>
        <v>9.8725889999999996</v>
      </c>
      <c r="O54">
        <f t="shared" si="3"/>
        <v>2.0067690450069819E-3</v>
      </c>
      <c r="P54">
        <f t="shared" si="4"/>
        <v>-0.38786933333333334</v>
      </c>
      <c r="Q54">
        <f t="shared" si="5"/>
        <v>7.4717616545378674E-4</v>
      </c>
    </row>
    <row r="55" spans="1:17">
      <c r="A55" t="s">
        <v>14</v>
      </c>
      <c r="B55">
        <v>4</v>
      </c>
      <c r="C55">
        <v>6.456321</v>
      </c>
      <c r="D55">
        <v>9.9128629999999998</v>
      </c>
      <c r="E55">
        <v>-0.340285</v>
      </c>
      <c r="F55">
        <v>6.4573970000000003</v>
      </c>
      <c r="G55">
        <v>9.8993249999999993</v>
      </c>
      <c r="H55">
        <v>-0.34185900000000002</v>
      </c>
      <c r="I55">
        <v>6.4529639999999997</v>
      </c>
      <c r="J55">
        <v>9.9225410000000007</v>
      </c>
      <c r="K55">
        <v>-0.34132299999999999</v>
      </c>
      <c r="L55">
        <f t="shared" si="0"/>
        <v>6.4555606666666661</v>
      </c>
      <c r="M55">
        <f t="shared" si="1"/>
        <v>1.8879357922229241E-3</v>
      </c>
      <c r="N55">
        <f t="shared" si="2"/>
        <v>9.9115763333333344</v>
      </c>
      <c r="O55">
        <f t="shared" si="3"/>
        <v>9.5214598787283292E-3</v>
      </c>
      <c r="P55">
        <f t="shared" si="4"/>
        <v>-0.34115566666666669</v>
      </c>
      <c r="Q55">
        <f t="shared" si="5"/>
        <v>6.5338571218606883E-4</v>
      </c>
    </row>
    <row r="56" spans="1:17">
      <c r="A56" t="s">
        <v>14</v>
      </c>
      <c r="B56">
        <v>5</v>
      </c>
      <c r="C56">
        <v>5.7399100000000001</v>
      </c>
      <c r="D56">
        <v>9.8391570000000002</v>
      </c>
      <c r="E56">
        <v>-0.29487799999999997</v>
      </c>
      <c r="F56">
        <v>5.7724510000000002</v>
      </c>
      <c r="G56">
        <v>9.9160509999999995</v>
      </c>
      <c r="H56">
        <v>-0.28023500000000001</v>
      </c>
      <c r="I56">
        <v>5.7278950000000002</v>
      </c>
      <c r="J56">
        <v>9.8402410000000007</v>
      </c>
      <c r="K56">
        <v>-0.29076999999999997</v>
      </c>
      <c r="L56">
        <f t="shared" si="0"/>
        <v>5.7467520000000007</v>
      </c>
      <c r="M56">
        <f t="shared" si="1"/>
        <v>1.8822309581982791E-2</v>
      </c>
      <c r="N56">
        <f t="shared" si="2"/>
        <v>9.8651496666666674</v>
      </c>
      <c r="O56">
        <f t="shared" si="3"/>
        <v>3.5995398459000162E-2</v>
      </c>
      <c r="P56">
        <f t="shared" si="4"/>
        <v>-0.28862766666666667</v>
      </c>
      <c r="Q56">
        <f t="shared" si="5"/>
        <v>6.1669309673090507E-3</v>
      </c>
    </row>
    <row r="57" spans="1:17">
      <c r="A57" t="s">
        <v>14</v>
      </c>
      <c r="B57">
        <v>6</v>
      </c>
      <c r="C57">
        <v>5.0406719999999998</v>
      </c>
      <c r="D57">
        <v>9.8642819999999993</v>
      </c>
      <c r="E57">
        <v>-0.208538</v>
      </c>
      <c r="F57">
        <v>5.0294480000000004</v>
      </c>
      <c r="G57">
        <v>9.8735689999999998</v>
      </c>
      <c r="H57">
        <v>-0.20505799999999999</v>
      </c>
      <c r="I57">
        <v>5.0276399999999999</v>
      </c>
      <c r="J57">
        <v>9.8588629999999995</v>
      </c>
      <c r="K57">
        <v>-0.199654</v>
      </c>
      <c r="L57">
        <f t="shared" si="0"/>
        <v>5.0325866666666661</v>
      </c>
      <c r="M57">
        <f t="shared" si="1"/>
        <v>5.7646438070552862E-3</v>
      </c>
      <c r="N57">
        <f t="shared" si="2"/>
        <v>9.8655713333333335</v>
      </c>
      <c r="O57">
        <f t="shared" si="3"/>
        <v>6.0725279927081538E-3</v>
      </c>
      <c r="P57">
        <f t="shared" si="4"/>
        <v>-0.20441666666666666</v>
      </c>
      <c r="Q57">
        <f t="shared" si="5"/>
        <v>3.6551192714997542E-3</v>
      </c>
    </row>
    <row r="58" spans="1:17">
      <c r="A58" t="s">
        <v>14</v>
      </c>
      <c r="B58">
        <v>7</v>
      </c>
      <c r="C58">
        <v>4.2357839999999998</v>
      </c>
      <c r="D58">
        <v>9.9001999999999999</v>
      </c>
      <c r="E58">
        <v>-9.5383999999999997E-2</v>
      </c>
      <c r="F58">
        <v>4.2223750000000004</v>
      </c>
      <c r="G58">
        <v>9.9063990000000004</v>
      </c>
      <c r="H58">
        <v>-8.9763999999999997E-2</v>
      </c>
      <c r="I58">
        <v>4.1983519999999999</v>
      </c>
      <c r="J58">
        <v>9.9003899999999998</v>
      </c>
      <c r="K58">
        <v>-8.4423999999999999E-2</v>
      </c>
      <c r="L58">
        <f t="shared" si="0"/>
        <v>4.2188369999999997</v>
      </c>
      <c r="M58">
        <f t="shared" si="1"/>
        <v>1.5484976353442294E-2</v>
      </c>
      <c r="N58">
        <f t="shared" si="2"/>
        <v>9.9023296666666667</v>
      </c>
      <c r="O58">
        <f t="shared" si="3"/>
        <v>2.8784984897611203E-3</v>
      </c>
      <c r="P58">
        <f t="shared" si="4"/>
        <v>-8.9857333333333331E-2</v>
      </c>
      <c r="Q58">
        <f t="shared" si="5"/>
        <v>4.4748879563875354E-3</v>
      </c>
    </row>
    <row r="59" spans="1:17">
      <c r="A59" t="s">
        <v>14</v>
      </c>
      <c r="B59">
        <v>8</v>
      </c>
      <c r="C59">
        <v>3.4767420000000002</v>
      </c>
      <c r="D59">
        <v>10.00456</v>
      </c>
      <c r="E59">
        <v>-0.26247999999999999</v>
      </c>
      <c r="F59">
        <v>3.4742980000000001</v>
      </c>
      <c r="G59">
        <v>10.017519999999999</v>
      </c>
      <c r="H59">
        <v>-2.5225000000000001E-2</v>
      </c>
      <c r="I59">
        <v>3.4767420000000002</v>
      </c>
      <c r="J59">
        <v>10.00456</v>
      </c>
      <c r="K59">
        <v>-2.6248E-2</v>
      </c>
      <c r="L59">
        <f t="shared" si="0"/>
        <v>3.4759273333333334</v>
      </c>
      <c r="M59">
        <f t="shared" si="1"/>
        <v>1.1521126488133345E-3</v>
      </c>
      <c r="N59">
        <f t="shared" si="2"/>
        <v>10.00888</v>
      </c>
      <c r="O59">
        <f t="shared" si="3"/>
        <v>6.1094025894516003E-3</v>
      </c>
      <c r="P59">
        <f t="shared" si="4"/>
        <v>-0.10465099999999999</v>
      </c>
      <c r="Q59">
        <f t="shared" si="5"/>
        <v>0.11160273760979164</v>
      </c>
    </row>
    <row r="60" spans="1:17">
      <c r="A60" t="s">
        <v>14</v>
      </c>
      <c r="B60">
        <v>9</v>
      </c>
      <c r="C60">
        <v>2.7369330000000001</v>
      </c>
      <c r="D60">
        <v>10.003195</v>
      </c>
      <c r="E60">
        <v>6.8749000000000005E-2</v>
      </c>
      <c r="F60">
        <v>2.7286899999999998</v>
      </c>
      <c r="G60">
        <v>10.003919</v>
      </c>
      <c r="H60">
        <v>7.1883000000000002E-2</v>
      </c>
      <c r="I60">
        <v>2.7369330000000001</v>
      </c>
      <c r="J60">
        <v>10.003195</v>
      </c>
      <c r="K60">
        <v>6.8749000000000005E-2</v>
      </c>
      <c r="L60">
        <f t="shared" si="0"/>
        <v>2.734185333333333</v>
      </c>
      <c r="M60">
        <f t="shared" si="1"/>
        <v>3.8857874648805788E-3</v>
      </c>
      <c r="N60">
        <f t="shared" si="2"/>
        <v>10.003436333333333</v>
      </c>
      <c r="O60">
        <f t="shared" si="3"/>
        <v>3.412968730526819E-4</v>
      </c>
      <c r="P60">
        <f t="shared" si="4"/>
        <v>6.9793666666666671E-2</v>
      </c>
      <c r="Q60">
        <f t="shared" si="5"/>
        <v>1.4773817681590924E-3</v>
      </c>
    </row>
    <row r="61" spans="1:17">
      <c r="A61" t="s">
        <v>14</v>
      </c>
      <c r="B61">
        <v>10</v>
      </c>
      <c r="C61">
        <v>2.092635</v>
      </c>
      <c r="D61">
        <v>10.123843000000001</v>
      </c>
      <c r="E61">
        <v>0.12870699999999999</v>
      </c>
      <c r="F61">
        <v>2.0961129999999999</v>
      </c>
      <c r="G61">
        <v>10.097222</v>
      </c>
      <c r="H61">
        <v>0.13012399999999999</v>
      </c>
      <c r="I61">
        <v>2.088438</v>
      </c>
      <c r="J61">
        <v>10.095157</v>
      </c>
      <c r="K61">
        <v>0.13061500000000001</v>
      </c>
      <c r="L61">
        <f t="shared" si="0"/>
        <v>2.0923953333333336</v>
      </c>
      <c r="M61">
        <f t="shared" si="1"/>
        <v>3.1378853105589943E-3</v>
      </c>
      <c r="N61">
        <f t="shared" si="2"/>
        <v>10.105407333333334</v>
      </c>
      <c r="O61">
        <f t="shared" si="3"/>
        <v>1.3063215794317044E-2</v>
      </c>
      <c r="P61">
        <f t="shared" si="4"/>
        <v>0.12981533333333331</v>
      </c>
      <c r="Q61">
        <f t="shared" si="5"/>
        <v>8.0893853632743129E-4</v>
      </c>
    </row>
    <row r="62" spans="1:17" s="1" customFormat="1">
      <c r="A62" s="1" t="s">
        <v>15</v>
      </c>
      <c r="B62" s="1">
        <v>1</v>
      </c>
      <c r="C62" s="1">
        <v>-4.3892660000000001</v>
      </c>
      <c r="D62" s="1">
        <v>-0.50104499999999996</v>
      </c>
      <c r="E62" s="1">
        <v>0.211368</v>
      </c>
      <c r="F62" s="1">
        <v>-4.4117860000000002</v>
      </c>
      <c r="G62" s="1">
        <v>-0.43308200000000002</v>
      </c>
      <c r="H62" s="1">
        <v>0.224581</v>
      </c>
      <c r="I62" s="1">
        <v>-4.4117860000000002</v>
      </c>
      <c r="J62" s="1">
        <v>-0.43308200000000002</v>
      </c>
      <c r="K62" s="1">
        <v>0.224581</v>
      </c>
      <c r="L62">
        <f t="shared" si="0"/>
        <v>-4.4042793333333341</v>
      </c>
      <c r="M62">
        <f t="shared" si="1"/>
        <v>1.0616029808214078E-2</v>
      </c>
      <c r="N62">
        <f t="shared" si="2"/>
        <v>-0.4557363333333333</v>
      </c>
      <c r="O62">
        <f t="shared" si="3"/>
        <v>3.2038065446520853E-2</v>
      </c>
      <c r="P62">
        <f t="shared" si="4"/>
        <v>0.22017666666666669</v>
      </c>
      <c r="Q62">
        <f t="shared" si="5"/>
        <v>6.228667933211903E-3</v>
      </c>
    </row>
    <row r="63" spans="1:17" s="1" customFormat="1">
      <c r="A63" s="1" t="s">
        <v>15</v>
      </c>
      <c r="B63" s="1">
        <v>2</v>
      </c>
      <c r="C63" s="1">
        <v>-4.5153059999999998</v>
      </c>
      <c r="D63" s="1">
        <v>0.17024700000000001</v>
      </c>
      <c r="E63" s="1">
        <v>0.26848899999999998</v>
      </c>
      <c r="F63" s="1">
        <v>-4.5241769999999999</v>
      </c>
      <c r="G63" s="1">
        <v>0.15556300000000001</v>
      </c>
      <c r="H63" s="1">
        <v>0.27002700000000002</v>
      </c>
      <c r="I63" s="1">
        <v>-4.5135399999999999</v>
      </c>
      <c r="J63" s="1">
        <v>0.20186100000000001</v>
      </c>
      <c r="K63" s="1">
        <v>0.26948899999999998</v>
      </c>
      <c r="L63">
        <f t="shared" si="0"/>
        <v>-4.5176743333333329</v>
      </c>
      <c r="M63">
        <f t="shared" si="1"/>
        <v>4.6542592918267555E-3</v>
      </c>
      <c r="N63">
        <f t="shared" si="2"/>
        <v>0.17589033333333334</v>
      </c>
      <c r="O63">
        <f t="shared" si="3"/>
        <v>1.931772259409037E-2</v>
      </c>
      <c r="P63">
        <f t="shared" si="4"/>
        <v>0.26933499999999999</v>
      </c>
      <c r="Q63">
        <f t="shared" si="5"/>
        <v>6.3725871250747514E-4</v>
      </c>
    </row>
    <row r="64" spans="1:17" s="1" customFormat="1">
      <c r="A64" s="1" t="s">
        <v>15</v>
      </c>
      <c r="B64" s="1">
        <v>3</v>
      </c>
      <c r="C64" s="1">
        <v>-4.745406</v>
      </c>
      <c r="D64" s="1">
        <v>0.91008800000000001</v>
      </c>
      <c r="E64" s="1">
        <v>0.25622</v>
      </c>
      <c r="F64" s="1">
        <v>-4.7322499999999996</v>
      </c>
      <c r="G64" s="1">
        <v>0.90928600000000004</v>
      </c>
      <c r="H64" s="1">
        <v>0.247359</v>
      </c>
      <c r="I64" s="1">
        <v>-4.7322249999999997</v>
      </c>
      <c r="J64" s="1">
        <v>0.90928600000000004</v>
      </c>
      <c r="K64" s="1">
        <v>0.247359</v>
      </c>
      <c r="L64">
        <f t="shared" si="0"/>
        <v>-4.7366269999999995</v>
      </c>
      <c r="M64">
        <f t="shared" si="1"/>
        <v>6.2076988221617816E-3</v>
      </c>
      <c r="N64">
        <f t="shared" si="2"/>
        <v>0.90955333333333332</v>
      </c>
      <c r="O64">
        <f t="shared" si="3"/>
        <v>3.7806642567439301E-4</v>
      </c>
      <c r="P64">
        <f t="shared" si="4"/>
        <v>0.25031266666666668</v>
      </c>
      <c r="Q64">
        <f t="shared" si="5"/>
        <v>4.1771154587293352E-3</v>
      </c>
    </row>
    <row r="65" spans="1:17" s="1" customFormat="1">
      <c r="A65" s="1" t="s">
        <v>15</v>
      </c>
      <c r="B65" s="1">
        <v>4</v>
      </c>
      <c r="C65" s="1">
        <v>-4.9084209999999997</v>
      </c>
      <c r="D65" s="1">
        <v>1.524181</v>
      </c>
      <c r="E65" s="1">
        <v>0.25096499999999999</v>
      </c>
      <c r="F65" s="1">
        <v>-4.9029689999999997</v>
      </c>
      <c r="G65" s="1">
        <v>1.5386089999999999</v>
      </c>
      <c r="H65" s="1">
        <v>0.25585200000000002</v>
      </c>
      <c r="I65" s="1">
        <v>-4.87737</v>
      </c>
      <c r="J65" s="1">
        <v>1.542813</v>
      </c>
      <c r="K65" s="1">
        <v>0.234461</v>
      </c>
      <c r="L65">
        <f t="shared" si="0"/>
        <v>-4.8962533333333331</v>
      </c>
      <c r="M65">
        <f t="shared" si="1"/>
        <v>1.3536771755317142E-2</v>
      </c>
      <c r="N65">
        <f t="shared" si="2"/>
        <v>1.5352009999999998</v>
      </c>
      <c r="O65">
        <f t="shared" si="3"/>
        <v>7.9790853276967989E-3</v>
      </c>
      <c r="P65">
        <f t="shared" si="4"/>
        <v>0.24709266666666671</v>
      </c>
      <c r="Q65">
        <f t="shared" si="5"/>
        <v>9.1520469234422624E-3</v>
      </c>
    </row>
    <row r="66" spans="1:17" s="1" customFormat="1">
      <c r="A66" s="1" t="s">
        <v>15</v>
      </c>
      <c r="B66" s="1">
        <v>5</v>
      </c>
      <c r="C66" s="1">
        <v>-5.0224039999999999</v>
      </c>
      <c r="D66" s="1">
        <v>2.2136290000000001</v>
      </c>
      <c r="E66" s="1">
        <v>0.25849499999999997</v>
      </c>
      <c r="F66" s="1">
        <v>-5.1264690000000002</v>
      </c>
      <c r="G66" s="1">
        <v>2.1706919999999998</v>
      </c>
      <c r="H66" s="1">
        <v>0.252886</v>
      </c>
      <c r="I66" s="1">
        <v>-5.0013079999999999</v>
      </c>
      <c r="J66" s="1">
        <v>2.2015850000000001</v>
      </c>
      <c r="K66" s="1">
        <v>0.52502260000000001</v>
      </c>
      <c r="L66">
        <f t="shared" si="0"/>
        <v>-5.0500603333333336</v>
      </c>
      <c r="M66">
        <f t="shared" si="1"/>
        <v>5.4711202754910301E-2</v>
      </c>
      <c r="N66">
        <f t="shared" si="2"/>
        <v>2.1953019999999999</v>
      </c>
      <c r="O66">
        <f t="shared" si="3"/>
        <v>1.8083206924289469E-2</v>
      </c>
      <c r="P66">
        <f t="shared" si="4"/>
        <v>0.34546786666666662</v>
      </c>
      <c r="Q66">
        <f t="shared" si="5"/>
        <v>0.1269850172712077</v>
      </c>
    </row>
    <row r="67" spans="1:17" s="1" customFormat="1">
      <c r="A67" s="1" t="s">
        <v>15</v>
      </c>
      <c r="B67" s="1">
        <v>6</v>
      </c>
      <c r="C67" s="1">
        <v>-5.2902050000000003</v>
      </c>
      <c r="D67" s="1">
        <v>2.864398</v>
      </c>
      <c r="E67" s="1">
        <v>0.32965699999999998</v>
      </c>
      <c r="F67" s="1">
        <v>-5.1987490000000003</v>
      </c>
      <c r="G67" s="1">
        <v>2.8969100000000001</v>
      </c>
      <c r="H67" s="1">
        <v>0.31592700000000001</v>
      </c>
      <c r="I67" s="1">
        <v>-5.310276</v>
      </c>
      <c r="J67" s="1">
        <v>2.8617010000000001</v>
      </c>
      <c r="K67" s="1">
        <v>0.33368100000000001</v>
      </c>
      <c r="L67">
        <f t="shared" ref="L67:L91" si="6">AVERAGE(C67,F67,I67)</f>
        <v>-5.2664099999999996</v>
      </c>
      <c r="M67">
        <f t="shared" ref="M67:M91" si="7">_xlfn.STDEV.P(C67,F67,I67)</f>
        <v>4.8540151428138931E-2</v>
      </c>
      <c r="N67">
        <f t="shared" ref="N67:N91" si="8">AVERAGE(D67,G67,J67)</f>
        <v>2.8743363333333334</v>
      </c>
      <c r="O67">
        <f t="shared" ref="O67:O91" si="9">_xlfn.STDEV.P(D67,G67,J67)</f>
        <v>1.5999922340089338E-2</v>
      </c>
      <c r="P67">
        <f t="shared" ref="P67:P91" si="10">AVERAGE(E67,H67,K67)</f>
        <v>0.32642166666666667</v>
      </c>
      <c r="Q67">
        <f t="shared" ref="Q67:Q91" si="11">_xlfn.STDEV.P(E67,H67,K67)</f>
        <v>7.6005116202061537E-3</v>
      </c>
    </row>
    <row r="68" spans="1:17" s="1" customFormat="1">
      <c r="A68" s="1" t="s">
        <v>15</v>
      </c>
      <c r="B68" s="1">
        <v>7</v>
      </c>
      <c r="C68" s="1">
        <v>-5.4955109999999996</v>
      </c>
      <c r="D68" s="1">
        <v>3.5554160000000001</v>
      </c>
      <c r="E68" s="1">
        <v>0.33245200000000003</v>
      </c>
      <c r="F68" s="1">
        <v>-5.4956300000000002</v>
      </c>
      <c r="G68" s="1">
        <v>3.5787249999999999</v>
      </c>
      <c r="H68" s="1">
        <v>0.34476299999999999</v>
      </c>
      <c r="I68" s="1">
        <v>-5.6408060000000004</v>
      </c>
      <c r="J68" s="1">
        <v>3.5655809999999999</v>
      </c>
      <c r="K68" s="1">
        <v>0.359989</v>
      </c>
      <c r="L68">
        <f t="shared" si="6"/>
        <v>-5.5439823333333331</v>
      </c>
      <c r="M68">
        <f t="shared" si="7"/>
        <v>6.8464688515727498E-2</v>
      </c>
      <c r="N68">
        <f t="shared" si="8"/>
        <v>3.5665739999999997</v>
      </c>
      <c r="O68">
        <f t="shared" si="9"/>
        <v>9.5417296475358831E-3</v>
      </c>
      <c r="P68">
        <f t="shared" si="10"/>
        <v>0.34573466666666669</v>
      </c>
      <c r="Q68">
        <f t="shared" si="11"/>
        <v>1.1262909462281733E-2</v>
      </c>
    </row>
    <row r="69" spans="1:17" s="1" customFormat="1">
      <c r="A69" s="1" t="s">
        <v>15</v>
      </c>
      <c r="B69" s="1">
        <v>8</v>
      </c>
      <c r="C69" s="1">
        <v>-5.9094540000000002</v>
      </c>
      <c r="D69" s="1">
        <v>4.1388490000000004</v>
      </c>
      <c r="E69" s="1">
        <v>0.44609799999999999</v>
      </c>
      <c r="F69" s="1">
        <v>-5.8989520000000004</v>
      </c>
      <c r="G69" s="1">
        <v>4.1775010000000004</v>
      </c>
      <c r="H69" s="1">
        <v>0.45488899999999999</v>
      </c>
      <c r="I69" s="1">
        <v>-5.9289759999999996</v>
      </c>
      <c r="J69" s="1">
        <v>4.1351459999999998</v>
      </c>
      <c r="K69" s="1">
        <v>0.449992</v>
      </c>
      <c r="L69">
        <f t="shared" si="6"/>
        <v>-5.912460666666667</v>
      </c>
      <c r="M69">
        <f t="shared" si="7"/>
        <v>1.244026198366471E-2</v>
      </c>
      <c r="N69">
        <f t="shared" si="8"/>
        <v>4.1504986666666666</v>
      </c>
      <c r="O69">
        <f t="shared" si="9"/>
        <v>1.9153286164230256E-2</v>
      </c>
      <c r="P69">
        <f t="shared" si="10"/>
        <v>0.45032633333333333</v>
      </c>
      <c r="Q69">
        <f t="shared" si="11"/>
        <v>3.5966886931670266E-3</v>
      </c>
    </row>
    <row r="70" spans="1:17" s="1" customFormat="1">
      <c r="A70" s="1" t="s">
        <v>15</v>
      </c>
      <c r="B70" s="1">
        <v>9</v>
      </c>
      <c r="C70" s="1">
        <v>-6.0787639999999996</v>
      </c>
      <c r="D70" s="1">
        <v>4.7904039999999997</v>
      </c>
      <c r="E70" s="1">
        <v>0.532474</v>
      </c>
      <c r="F70" s="1">
        <v>-6.101858</v>
      </c>
      <c r="G70" s="1">
        <v>4.803121</v>
      </c>
      <c r="H70" s="1">
        <v>0.53707400000000005</v>
      </c>
      <c r="I70" s="1">
        <v>-6.1185910000000003</v>
      </c>
      <c r="J70" s="1">
        <v>4.7938619999999998</v>
      </c>
      <c r="K70" s="1">
        <v>0.53765300000000005</v>
      </c>
      <c r="L70">
        <f t="shared" si="6"/>
        <v>-6.0997376666666669</v>
      </c>
      <c r="M70">
        <f t="shared" si="7"/>
        <v>1.632828511782234E-2</v>
      </c>
      <c r="N70">
        <f t="shared" si="8"/>
        <v>4.7957956666666668</v>
      </c>
      <c r="O70">
        <f t="shared" si="9"/>
        <v>5.3687256298762531E-3</v>
      </c>
      <c r="P70">
        <f t="shared" si="10"/>
        <v>0.53573366666666677</v>
      </c>
      <c r="Q70">
        <f t="shared" si="11"/>
        <v>2.3170211239626169E-3</v>
      </c>
    </row>
    <row r="71" spans="1:17" s="1" customFormat="1">
      <c r="A71" s="1" t="s">
        <v>15</v>
      </c>
      <c r="B71" s="1">
        <v>10</v>
      </c>
      <c r="C71" s="1">
        <v>-6.2720019999999996</v>
      </c>
      <c r="D71" s="1">
        <v>5.4314840000000002</v>
      </c>
      <c r="E71" s="1">
        <v>0.58145999999999998</v>
      </c>
      <c r="F71" s="1">
        <v>-6.2754149999999997</v>
      </c>
      <c r="G71" s="1">
        <v>5.449141</v>
      </c>
      <c r="H71" s="1">
        <v>0.58842700000000003</v>
      </c>
      <c r="I71" s="1">
        <v>-6.2754149999999997</v>
      </c>
      <c r="J71" s="1">
        <v>5.449141</v>
      </c>
      <c r="K71" s="1">
        <v>0.58842700000000003</v>
      </c>
      <c r="L71">
        <f t="shared" si="6"/>
        <v>-6.274277333333333</v>
      </c>
      <c r="M71">
        <f t="shared" si="7"/>
        <v>1.608903629459843E-3</v>
      </c>
      <c r="N71">
        <f t="shared" si="8"/>
        <v>5.4432553333333331</v>
      </c>
      <c r="O71">
        <f t="shared" si="9"/>
        <v>8.3235896236071583E-3</v>
      </c>
      <c r="P71">
        <f t="shared" si="10"/>
        <v>0.58610466666666672</v>
      </c>
      <c r="Q71">
        <f t="shared" si="11"/>
        <v>3.2842752963511443E-3</v>
      </c>
    </row>
    <row r="72" spans="1:17">
      <c r="A72" t="s">
        <v>16</v>
      </c>
      <c r="B72">
        <v>1</v>
      </c>
      <c r="C72">
        <v>-2.2622409999999999</v>
      </c>
      <c r="D72">
        <v>2.9990269999999999</v>
      </c>
      <c r="E72">
        <v>-1.3958E-2</v>
      </c>
      <c r="F72">
        <v>-2.2517550000000002</v>
      </c>
      <c r="G72">
        <v>3.0013160999999999</v>
      </c>
      <c r="H72">
        <v>-1.3161000000000001E-2</v>
      </c>
      <c r="I72">
        <v>-2.2020179999999998</v>
      </c>
      <c r="J72">
        <v>3.033506</v>
      </c>
      <c r="K72">
        <v>-1.418E-3</v>
      </c>
      <c r="L72">
        <f t="shared" si="6"/>
        <v>-2.2386713333333335</v>
      </c>
      <c r="M72">
        <f t="shared" si="7"/>
        <v>2.626898275321856E-2</v>
      </c>
      <c r="N72">
        <f t="shared" si="8"/>
        <v>3.0112830333333336</v>
      </c>
      <c r="O72">
        <f t="shared" si="9"/>
        <v>1.5741774154635731E-2</v>
      </c>
      <c r="P72">
        <f t="shared" si="10"/>
        <v>-9.5123333333333327E-3</v>
      </c>
      <c r="Q72">
        <f t="shared" si="11"/>
        <v>5.7327989867273586E-3</v>
      </c>
    </row>
    <row r="73" spans="1:17">
      <c r="A73" t="s">
        <v>16</v>
      </c>
      <c r="B73">
        <v>2</v>
      </c>
      <c r="C73">
        <v>-2.975209</v>
      </c>
      <c r="D73">
        <v>2.9884840000000001</v>
      </c>
      <c r="E73">
        <v>1.532E-2</v>
      </c>
      <c r="F73">
        <v>-2.975209</v>
      </c>
      <c r="G73">
        <v>2.9885839999999999</v>
      </c>
      <c r="H73">
        <v>1.5259999999999999E-2</v>
      </c>
      <c r="I73">
        <v>-2.9752070000000002</v>
      </c>
      <c r="J73">
        <v>2.9885839999999999</v>
      </c>
      <c r="K73">
        <v>1.525E-2</v>
      </c>
      <c r="L73">
        <f t="shared" si="6"/>
        <v>-2.9752083333333332</v>
      </c>
      <c r="M73">
        <f t="shared" si="7"/>
        <v>9.4280904150450158E-7</v>
      </c>
      <c r="N73">
        <f t="shared" si="8"/>
        <v>2.9885506666666668</v>
      </c>
      <c r="O73">
        <f t="shared" si="9"/>
        <v>4.7140452078993306E-5</v>
      </c>
      <c r="P73">
        <f t="shared" si="10"/>
        <v>1.5276666666666666E-2</v>
      </c>
      <c r="Q73">
        <f t="shared" si="11"/>
        <v>3.0912061651652707E-5</v>
      </c>
    </row>
    <row r="74" spans="1:17">
      <c r="A74" t="s">
        <v>16</v>
      </c>
      <c r="B74">
        <v>3</v>
      </c>
      <c r="C74">
        <v>-3.6789700000000001</v>
      </c>
      <c r="D74">
        <v>2.8785352999999998</v>
      </c>
      <c r="E74">
        <v>0.179817</v>
      </c>
      <c r="F74">
        <v>-3.67848</v>
      </c>
      <c r="G74">
        <v>2.864141</v>
      </c>
      <c r="H74">
        <v>0.18176800000000001</v>
      </c>
      <c r="I74">
        <v>-3.6574610000000001</v>
      </c>
      <c r="J74">
        <v>2.894183</v>
      </c>
      <c r="K74">
        <v>0.173179</v>
      </c>
      <c r="L74">
        <f t="shared" si="6"/>
        <v>-3.671637</v>
      </c>
      <c r="M74">
        <f t="shared" si="7"/>
        <v>1.0025941585041588E-2</v>
      </c>
      <c r="N74">
        <f t="shared" si="8"/>
        <v>2.8789530999999999</v>
      </c>
      <c r="O74">
        <f t="shared" si="9"/>
        <v>1.2268152771301761E-2</v>
      </c>
      <c r="P74">
        <f t="shared" si="10"/>
        <v>0.17825466666666667</v>
      </c>
      <c r="Q74">
        <f t="shared" si="11"/>
        <v>3.6763563785659108E-3</v>
      </c>
    </row>
    <row r="75" spans="1:17">
      <c r="A75" t="s">
        <v>16</v>
      </c>
      <c r="B75">
        <v>4</v>
      </c>
      <c r="C75">
        <v>-4.3326099999999999</v>
      </c>
      <c r="D75">
        <v>2.7762319999999998</v>
      </c>
      <c r="E75">
        <v>0.32203199999999998</v>
      </c>
      <c r="F75">
        <v>-4.301158</v>
      </c>
      <c r="G75">
        <v>2.7490549999999998</v>
      </c>
      <c r="H75">
        <v>0.302095</v>
      </c>
      <c r="I75">
        <v>-4.3320600000000002</v>
      </c>
      <c r="J75">
        <v>2.7276560000000001</v>
      </c>
      <c r="K75">
        <v>0.31701400000000002</v>
      </c>
      <c r="L75">
        <f t="shared" si="6"/>
        <v>-4.3219426666666667</v>
      </c>
      <c r="M75">
        <f t="shared" si="7"/>
        <v>1.4698693849757159E-2</v>
      </c>
      <c r="N75">
        <f t="shared" si="8"/>
        <v>2.7509809999999999</v>
      </c>
      <c r="O75">
        <f t="shared" si="9"/>
        <v>1.9877777390845178E-2</v>
      </c>
      <c r="P75">
        <f t="shared" si="10"/>
        <v>0.31371366666666667</v>
      </c>
      <c r="Q75">
        <f t="shared" si="11"/>
        <v>8.4671971881031659E-3</v>
      </c>
    </row>
    <row r="76" spans="1:17">
      <c r="A76" t="s">
        <v>16</v>
      </c>
      <c r="B76">
        <v>5</v>
      </c>
      <c r="C76">
        <v>-4.9957739999999999</v>
      </c>
      <c r="D76">
        <v>2.6472880000000001</v>
      </c>
      <c r="E76">
        <v>0.33457700000000001</v>
      </c>
      <c r="F76">
        <v>-4.9719670000000002</v>
      </c>
      <c r="G76">
        <v>2.6652740000000001</v>
      </c>
      <c r="H76">
        <v>0.33763399999999999</v>
      </c>
      <c r="I76">
        <v>-4.9655300000000002</v>
      </c>
      <c r="J76">
        <v>2.6396579999999998</v>
      </c>
      <c r="K76">
        <v>0.33237499999999998</v>
      </c>
      <c r="L76">
        <f t="shared" si="6"/>
        <v>-4.9777570000000004</v>
      </c>
      <c r="M76">
        <f t="shared" si="7"/>
        <v>1.3008150240009652E-2</v>
      </c>
      <c r="N76">
        <f t="shared" si="8"/>
        <v>2.6507399999999999</v>
      </c>
      <c r="O76">
        <f t="shared" si="9"/>
        <v>1.0738779943115933E-2</v>
      </c>
      <c r="P76">
        <f t="shared" si="10"/>
        <v>0.33486199999999999</v>
      </c>
      <c r="Q76">
        <f t="shared" si="11"/>
        <v>2.1564150806373107E-3</v>
      </c>
    </row>
    <row r="77" spans="1:17">
      <c r="A77" t="s">
        <v>16</v>
      </c>
      <c r="B77">
        <v>6</v>
      </c>
      <c r="C77">
        <v>-5.6519459999999997</v>
      </c>
      <c r="D77">
        <v>2.5250050000000002</v>
      </c>
      <c r="E77">
        <v>0.345582</v>
      </c>
      <c r="F77">
        <v>-5.6695010000000003</v>
      </c>
      <c r="G77">
        <v>2.5461290000000001</v>
      </c>
      <c r="H77">
        <v>0.36011700000000002</v>
      </c>
      <c r="I77">
        <v>-5.6972680000000002</v>
      </c>
      <c r="J77">
        <v>2.526618</v>
      </c>
      <c r="K77">
        <v>0.361788</v>
      </c>
      <c r="L77">
        <f t="shared" si="6"/>
        <v>-5.6729050000000001</v>
      </c>
      <c r="M77">
        <f t="shared" si="7"/>
        <v>1.8658533936691642E-2</v>
      </c>
      <c r="N77">
        <f t="shared" si="8"/>
        <v>2.5325840000000004</v>
      </c>
      <c r="O77">
        <f t="shared" si="9"/>
        <v>9.6003719025184904E-3</v>
      </c>
      <c r="P77">
        <f t="shared" si="10"/>
        <v>0.35582900000000001</v>
      </c>
      <c r="Q77">
        <f t="shared" si="11"/>
        <v>7.2777660033831841E-3</v>
      </c>
    </row>
    <row r="78" spans="1:17">
      <c r="A78" t="s">
        <v>16</v>
      </c>
      <c r="B78">
        <v>7</v>
      </c>
      <c r="C78">
        <v>-6.3974710000000004</v>
      </c>
      <c r="D78">
        <v>2.50177</v>
      </c>
      <c r="E78">
        <v>0.42061100000000001</v>
      </c>
      <c r="F78">
        <v>-6.3868039999999997</v>
      </c>
      <c r="G78">
        <v>2.5211570000000001</v>
      </c>
      <c r="H78">
        <v>0.42028500000000002</v>
      </c>
      <c r="I78">
        <v>-6.3719359999999998</v>
      </c>
      <c r="J78">
        <v>2.5219499999999999</v>
      </c>
      <c r="K78">
        <v>0.41983500000000001</v>
      </c>
      <c r="L78">
        <f t="shared" si="6"/>
        <v>-6.385403666666666</v>
      </c>
      <c r="M78">
        <f t="shared" si="7"/>
        <v>1.0471540998768665E-2</v>
      </c>
      <c r="N78">
        <f t="shared" si="8"/>
        <v>2.5149589999999997</v>
      </c>
      <c r="O78">
        <f t="shared" si="9"/>
        <v>9.3316487646431592E-3</v>
      </c>
      <c r="P78">
        <f t="shared" si="10"/>
        <v>0.42024366666666668</v>
      </c>
      <c r="Q78">
        <f t="shared" si="11"/>
        <v>3.1814601818801506E-4</v>
      </c>
    </row>
    <row r="79" spans="1:17">
      <c r="A79" t="s">
        <v>16</v>
      </c>
      <c r="B79">
        <v>8</v>
      </c>
      <c r="C79">
        <v>-7.0761799999999999</v>
      </c>
      <c r="D79">
        <v>2.4424450000000002</v>
      </c>
      <c r="E79">
        <v>0.49473899999999998</v>
      </c>
      <c r="F79">
        <v>-7.0761799999999999</v>
      </c>
      <c r="G79">
        <v>2.4424450000000002</v>
      </c>
      <c r="H79">
        <v>0.49473899999999998</v>
      </c>
      <c r="I79">
        <v>-7.0960289999999997</v>
      </c>
      <c r="J79">
        <v>2.4378649999999999</v>
      </c>
      <c r="K79">
        <v>0.49409799999999998</v>
      </c>
      <c r="L79">
        <f t="shared" si="6"/>
        <v>-7.0827963333333335</v>
      </c>
      <c r="M79">
        <f t="shared" si="7"/>
        <v>9.3569083331810857E-3</v>
      </c>
      <c r="N79">
        <f t="shared" si="8"/>
        <v>2.4409183333333337</v>
      </c>
      <c r="O79">
        <f t="shared" si="9"/>
        <v>2.1590327052230431E-3</v>
      </c>
      <c r="P79">
        <f t="shared" si="10"/>
        <v>0.49452533333333332</v>
      </c>
      <c r="Q79">
        <f t="shared" si="11"/>
        <v>3.0217029782705256E-4</v>
      </c>
    </row>
    <row r="80" spans="1:17">
      <c r="A80" t="s">
        <v>16</v>
      </c>
      <c r="B80">
        <v>9</v>
      </c>
      <c r="C80">
        <v>-7.7657809999999996</v>
      </c>
      <c r="D80">
        <v>2.407416</v>
      </c>
      <c r="E80">
        <v>0.54970799999999997</v>
      </c>
      <c r="F80">
        <v>-7.7681659999999999</v>
      </c>
      <c r="G80">
        <v>2.4291809999999998</v>
      </c>
      <c r="H80">
        <v>0.55467599999999995</v>
      </c>
      <c r="I80">
        <v>-7.7353569999999996</v>
      </c>
      <c r="J80">
        <v>2.4485709999999998</v>
      </c>
      <c r="K80">
        <v>0.57445000000000002</v>
      </c>
      <c r="L80">
        <f t="shared" si="6"/>
        <v>-7.7564346666666664</v>
      </c>
      <c r="M80">
        <f t="shared" si="7"/>
        <v>1.4935931626636418E-2</v>
      </c>
      <c r="N80">
        <f t="shared" si="8"/>
        <v>2.4283893333333331</v>
      </c>
      <c r="O80">
        <f t="shared" si="9"/>
        <v>1.6810781428066329E-2</v>
      </c>
      <c r="P80">
        <f t="shared" si="10"/>
        <v>0.55961133333333335</v>
      </c>
      <c r="Q80">
        <f t="shared" si="11"/>
        <v>1.0686744977879033E-2</v>
      </c>
    </row>
    <row r="81" spans="1:17">
      <c r="A81" t="s">
        <v>16</v>
      </c>
      <c r="B81">
        <v>10</v>
      </c>
      <c r="C81">
        <v>-8.4345759999999999</v>
      </c>
      <c r="D81">
        <v>2.4177029999999999</v>
      </c>
      <c r="E81">
        <v>0.75090299999999999</v>
      </c>
      <c r="F81">
        <v>-8.4345759999999999</v>
      </c>
      <c r="G81">
        <v>2.4177029999999999</v>
      </c>
      <c r="H81">
        <v>0.75090299999999999</v>
      </c>
      <c r="I81">
        <v>-8.4842677000000002</v>
      </c>
      <c r="J81">
        <v>2.4063680000000001</v>
      </c>
      <c r="K81">
        <v>0.75403200000000004</v>
      </c>
      <c r="L81">
        <f t="shared" si="6"/>
        <v>-8.4511398999999994</v>
      </c>
      <c r="M81">
        <f t="shared" si="7"/>
        <v>2.3424892025791868E-2</v>
      </c>
      <c r="N81">
        <f t="shared" si="8"/>
        <v>2.4139246666666665</v>
      </c>
      <c r="O81">
        <f t="shared" si="9"/>
        <v>5.343370243166284E-3</v>
      </c>
      <c r="P81">
        <f t="shared" si="10"/>
        <v>0.75194599999999989</v>
      </c>
      <c r="Q81">
        <f t="shared" si="11"/>
        <v>1.4750247455551609E-3</v>
      </c>
    </row>
    <row r="82" spans="1:17">
      <c r="A82" t="s">
        <v>17</v>
      </c>
      <c r="B82">
        <v>1</v>
      </c>
      <c r="C82">
        <v>-2.397516</v>
      </c>
      <c r="D82">
        <v>4.2915330000000003</v>
      </c>
      <c r="E82">
        <v>7.2816000000000006E-2</v>
      </c>
      <c r="F82">
        <v>-2.364382</v>
      </c>
      <c r="G82">
        <v>4.2691819999999998</v>
      </c>
      <c r="H82">
        <v>7.3360999999999996E-2</v>
      </c>
      <c r="I82">
        <v>-2.3516940000000002</v>
      </c>
      <c r="J82">
        <v>4.3461030000000003</v>
      </c>
      <c r="K82">
        <v>6.7346000000000003E-2</v>
      </c>
      <c r="L82">
        <f t="shared" si="6"/>
        <v>-2.3711973333333334</v>
      </c>
      <c r="M82">
        <f t="shared" si="7"/>
        <v>1.9317530852109948E-2</v>
      </c>
      <c r="N82">
        <f t="shared" si="8"/>
        <v>4.3022726666666671</v>
      </c>
      <c r="O82">
        <f t="shared" si="9"/>
        <v>3.2308052560038845E-2</v>
      </c>
      <c r="P82">
        <f t="shared" si="10"/>
        <v>7.1174333333333339E-2</v>
      </c>
      <c r="Q82">
        <f t="shared" si="11"/>
        <v>2.716168666011412E-3</v>
      </c>
    </row>
    <row r="83" spans="1:17">
      <c r="A83" t="s">
        <v>17</v>
      </c>
      <c r="B83">
        <v>2</v>
      </c>
      <c r="C83">
        <v>-2.9440719999999998</v>
      </c>
      <c r="D83">
        <v>4.3968990000000003</v>
      </c>
      <c r="E83">
        <v>0.11761099999999999</v>
      </c>
      <c r="F83">
        <v>-2.9440719999999998</v>
      </c>
      <c r="G83">
        <v>4.3968990000000003</v>
      </c>
      <c r="H83">
        <v>0.11761099999999999</v>
      </c>
      <c r="I83">
        <v>-2.9319739999999999</v>
      </c>
      <c r="J83">
        <v>4.4075879999999996</v>
      </c>
      <c r="K83">
        <v>0.111221</v>
      </c>
      <c r="L83">
        <f t="shared" si="6"/>
        <v>-2.940039333333333</v>
      </c>
      <c r="M83">
        <f t="shared" si="7"/>
        <v>5.7030518925298736E-3</v>
      </c>
      <c r="N83">
        <f t="shared" si="8"/>
        <v>4.4004620000000001</v>
      </c>
      <c r="O83">
        <f t="shared" si="9"/>
        <v>5.0388429227349995E-3</v>
      </c>
      <c r="P83">
        <f t="shared" si="10"/>
        <v>0.115481</v>
      </c>
      <c r="Q83">
        <f t="shared" si="11"/>
        <v>3.0122748878546892E-3</v>
      </c>
    </row>
    <row r="84" spans="1:17">
      <c r="A84" t="s">
        <v>17</v>
      </c>
      <c r="B84">
        <v>3</v>
      </c>
      <c r="C84">
        <v>-3.6641330000000001</v>
      </c>
      <c r="D84">
        <v>4.3561569999999996</v>
      </c>
      <c r="E84">
        <v>0.24563499999999999</v>
      </c>
      <c r="F84">
        <v>-3.6299929999999998</v>
      </c>
      <c r="G84">
        <v>4.3683449999999997</v>
      </c>
      <c r="H84">
        <v>0.23396800000000001</v>
      </c>
      <c r="I84">
        <v>-3.603361</v>
      </c>
      <c r="J84">
        <v>4.4045639999999997</v>
      </c>
      <c r="K84">
        <v>0.210642</v>
      </c>
      <c r="L84">
        <f t="shared" si="6"/>
        <v>-3.6324956666666668</v>
      </c>
      <c r="M84">
        <f t="shared" si="7"/>
        <v>2.4873097935096268E-2</v>
      </c>
      <c r="N84">
        <f t="shared" si="8"/>
        <v>4.3763553333333327</v>
      </c>
      <c r="O84">
        <f t="shared" si="9"/>
        <v>2.0557780235770189E-2</v>
      </c>
      <c r="P84">
        <f t="shared" si="10"/>
        <v>0.23008166666666666</v>
      </c>
      <c r="Q84">
        <f t="shared" si="11"/>
        <v>1.4547742146311077E-2</v>
      </c>
    </row>
    <row r="85" spans="1:17">
      <c r="A85" t="s">
        <v>17</v>
      </c>
      <c r="B85">
        <v>4</v>
      </c>
      <c r="C85">
        <v>-4.2670380000000003</v>
      </c>
      <c r="D85">
        <v>4.411397</v>
      </c>
      <c r="E85">
        <v>0.35838100000000001</v>
      </c>
      <c r="F85">
        <v>-4.2550749999999997</v>
      </c>
      <c r="G85">
        <v>4.4299660000000003</v>
      </c>
      <c r="H85">
        <v>0.35950700000000002</v>
      </c>
      <c r="I85">
        <v>-4.2710290000000004</v>
      </c>
      <c r="J85">
        <v>4.4194319999999996</v>
      </c>
      <c r="K85">
        <v>0.362149</v>
      </c>
      <c r="L85">
        <f t="shared" si="6"/>
        <v>-4.2643806666666668</v>
      </c>
      <c r="M85">
        <f t="shared" si="7"/>
        <v>6.7788196776597002E-3</v>
      </c>
      <c r="N85">
        <f t="shared" si="8"/>
        <v>4.4202650000000006</v>
      </c>
      <c r="O85">
        <f t="shared" si="9"/>
        <v>7.6036112911345424E-3</v>
      </c>
      <c r="P85">
        <f t="shared" si="10"/>
        <v>0.36001233333333338</v>
      </c>
      <c r="Q85">
        <f t="shared" si="11"/>
        <v>1.5792355393952082E-3</v>
      </c>
    </row>
    <row r="86" spans="1:17">
      <c r="A86" t="s">
        <v>17</v>
      </c>
      <c r="B86">
        <v>5</v>
      </c>
      <c r="C86">
        <v>-5.0625099999999996</v>
      </c>
      <c r="D86">
        <v>4.4396209999999998</v>
      </c>
      <c r="E86">
        <v>0.40029500000000001</v>
      </c>
      <c r="F86">
        <v>-5.0841560000000001</v>
      </c>
      <c r="G86">
        <v>4.4359729999999997</v>
      </c>
      <c r="H86">
        <v>0.40516400000000002</v>
      </c>
      <c r="I86">
        <v>-5.0990330000000004</v>
      </c>
      <c r="J86">
        <v>4.4318010000000001</v>
      </c>
      <c r="K86">
        <v>0.40834100000000001</v>
      </c>
      <c r="L86">
        <f t="shared" si="6"/>
        <v>-5.0818996666666667</v>
      </c>
      <c r="M86">
        <f t="shared" si="7"/>
        <v>1.4995569619798759E-2</v>
      </c>
      <c r="N86">
        <f t="shared" si="8"/>
        <v>4.4357983333333335</v>
      </c>
      <c r="O86">
        <f t="shared" si="9"/>
        <v>3.1948898085674441E-3</v>
      </c>
      <c r="P86">
        <f t="shared" si="10"/>
        <v>0.40460000000000002</v>
      </c>
      <c r="Q86">
        <f t="shared" si="11"/>
        <v>3.3088871240947461E-3</v>
      </c>
    </row>
    <row r="87" spans="1:17">
      <c r="A87" t="s">
        <v>17</v>
      </c>
      <c r="B87">
        <v>6</v>
      </c>
      <c r="C87">
        <v>-5.670553</v>
      </c>
      <c r="D87">
        <v>4.4941409999999999</v>
      </c>
      <c r="E87">
        <v>0.48901800000000001</v>
      </c>
      <c r="F87">
        <v>-5.6593540000000004</v>
      </c>
      <c r="G87">
        <v>4.4680759999999999</v>
      </c>
      <c r="H87">
        <v>0.47767799999999999</v>
      </c>
      <c r="I87">
        <v>-5.670553</v>
      </c>
      <c r="J87">
        <v>4.4941409999999999</v>
      </c>
      <c r="K87">
        <v>0.48901800000000001</v>
      </c>
      <c r="L87">
        <f t="shared" si="6"/>
        <v>-5.6668200000000004</v>
      </c>
      <c r="M87">
        <f t="shared" si="7"/>
        <v>5.2792592283385353E-3</v>
      </c>
      <c r="N87">
        <f t="shared" si="8"/>
        <v>4.4854526666666663</v>
      </c>
      <c r="O87">
        <f t="shared" si="9"/>
        <v>1.2287158834418244E-2</v>
      </c>
      <c r="P87">
        <f t="shared" si="10"/>
        <v>0.485238</v>
      </c>
      <c r="Q87">
        <f t="shared" si="11"/>
        <v>5.3457272657703074E-3</v>
      </c>
    </row>
    <row r="88" spans="1:17">
      <c r="A88" t="s">
        <v>17</v>
      </c>
      <c r="B88">
        <v>7</v>
      </c>
      <c r="C88">
        <v>-6.4410449999999999</v>
      </c>
      <c r="D88">
        <v>4.6431389999999997</v>
      </c>
      <c r="E88">
        <v>0.56535599999999997</v>
      </c>
      <c r="F88">
        <v>-6.4288169999999996</v>
      </c>
      <c r="G88">
        <v>4.6696619999999998</v>
      </c>
      <c r="H88">
        <v>0.562747</v>
      </c>
      <c r="I88">
        <v>-6.4127080000000003</v>
      </c>
      <c r="J88">
        <v>4.6840999999999999</v>
      </c>
      <c r="K88">
        <v>0.55971599999999999</v>
      </c>
      <c r="L88">
        <f t="shared" si="6"/>
        <v>-6.4275233333333333</v>
      </c>
      <c r="M88">
        <f t="shared" si="7"/>
        <v>1.1604641954359675E-2</v>
      </c>
      <c r="N88">
        <f t="shared" si="8"/>
        <v>4.6656336666666673</v>
      </c>
      <c r="O88">
        <f t="shared" si="9"/>
        <v>1.6963126330039879E-2</v>
      </c>
      <c r="P88">
        <f t="shared" si="10"/>
        <v>0.56260633333333321</v>
      </c>
      <c r="Q88">
        <f t="shared" si="11"/>
        <v>2.3046677755276393E-3</v>
      </c>
    </row>
    <row r="89" spans="1:17">
      <c r="A89" t="s">
        <v>17</v>
      </c>
      <c r="B89">
        <v>8</v>
      </c>
      <c r="C89">
        <v>-7.094176</v>
      </c>
      <c r="D89">
        <v>4.5591679999999997</v>
      </c>
      <c r="E89">
        <v>0.65202300000000002</v>
      </c>
      <c r="F89">
        <v>-7.1061290000000001</v>
      </c>
      <c r="G89">
        <v>4.5318630000000004</v>
      </c>
      <c r="H89">
        <v>0.64871400000000001</v>
      </c>
      <c r="I89">
        <v>-7.1265020000000003</v>
      </c>
      <c r="J89">
        <v>4.5389819999999999</v>
      </c>
      <c r="K89">
        <v>0.65174900000000002</v>
      </c>
      <c r="L89">
        <f t="shared" si="6"/>
        <v>-7.1089356666666674</v>
      </c>
      <c r="M89">
        <f t="shared" si="7"/>
        <v>1.3345426241059475E-2</v>
      </c>
      <c r="N89">
        <f t="shared" si="8"/>
        <v>4.5433376666666669</v>
      </c>
      <c r="O89">
        <f t="shared" si="9"/>
        <v>1.1564878737895004E-2</v>
      </c>
      <c r="P89">
        <f t="shared" si="10"/>
        <v>0.65082866666666661</v>
      </c>
      <c r="Q89">
        <f t="shared" si="11"/>
        <v>1.4994733149416941E-3</v>
      </c>
    </row>
    <row r="90" spans="1:17">
      <c r="A90" t="s">
        <v>17</v>
      </c>
      <c r="B90">
        <v>9</v>
      </c>
      <c r="C90">
        <v>-7.7970949999999997</v>
      </c>
      <c r="D90">
        <v>4.5645360000000004</v>
      </c>
      <c r="E90">
        <v>0.779559</v>
      </c>
      <c r="F90">
        <v>-7.8298490000000003</v>
      </c>
      <c r="G90">
        <v>4.5626819999999997</v>
      </c>
      <c r="H90">
        <v>0.79229000000000005</v>
      </c>
      <c r="I90">
        <v>-7.8624419999999997</v>
      </c>
      <c r="J90">
        <v>4.5540500000000002</v>
      </c>
      <c r="K90">
        <v>0.79727599999999998</v>
      </c>
      <c r="L90">
        <f t="shared" si="6"/>
        <v>-7.8297953333333332</v>
      </c>
      <c r="M90">
        <f t="shared" si="7"/>
        <v>2.6677828026700812E-2</v>
      </c>
      <c r="N90">
        <f t="shared" si="8"/>
        <v>4.5604226666666667</v>
      </c>
      <c r="O90">
        <f t="shared" si="9"/>
        <v>4.5692807116899823E-3</v>
      </c>
      <c r="P90">
        <f t="shared" si="10"/>
        <v>0.78970833333333335</v>
      </c>
      <c r="Q90">
        <f t="shared" si="11"/>
        <v>7.4597486254937267E-3</v>
      </c>
    </row>
    <row r="91" spans="1:17">
      <c r="A91" t="s">
        <v>17</v>
      </c>
      <c r="B91">
        <v>10</v>
      </c>
      <c r="C91">
        <v>-8.4657339999999994</v>
      </c>
      <c r="D91">
        <v>4.6147530000000003</v>
      </c>
      <c r="E91">
        <v>0.96800299999999995</v>
      </c>
      <c r="F91">
        <v>-8.4761959999999998</v>
      </c>
      <c r="G91">
        <v>4.6318320000000002</v>
      </c>
      <c r="H91">
        <v>0.97064300000000003</v>
      </c>
      <c r="I91">
        <v>-8.4850390000000004</v>
      </c>
      <c r="J91">
        <v>4.6002890000000001</v>
      </c>
      <c r="K91">
        <v>0.96573799999999999</v>
      </c>
      <c r="L91">
        <f t="shared" si="6"/>
        <v>-8.4756563333333332</v>
      </c>
      <c r="M91">
        <f t="shared" si="7"/>
        <v>7.8904662444979796E-3</v>
      </c>
      <c r="N91">
        <f t="shared" si="8"/>
        <v>4.6156246666666663</v>
      </c>
      <c r="O91">
        <f t="shared" si="9"/>
        <v>1.2892118117499407E-2</v>
      </c>
      <c r="P91">
        <f t="shared" si="10"/>
        <v>0.96812799999999999</v>
      </c>
      <c r="Q91">
        <f t="shared" si="11"/>
        <v>2.0044076431704415E-3</v>
      </c>
    </row>
    <row r="95" spans="1:17">
      <c r="B95" t="s">
        <v>18</v>
      </c>
      <c r="C95">
        <v>4.6057629999999996</v>
      </c>
      <c r="D95">
        <v>2.2827809999999999</v>
      </c>
      <c r="E95">
        <v>-0.55104799999999998</v>
      </c>
      <c r="F95">
        <v>4.6040520000000003</v>
      </c>
      <c r="G95">
        <v>2.2781989999999999</v>
      </c>
      <c r="H95">
        <v>-0.59525399999999995</v>
      </c>
      <c r="I95">
        <v>4.6000709999999998</v>
      </c>
      <c r="J95">
        <v>2.2812489999999999</v>
      </c>
      <c r="K95">
        <v>-0.56287299999999996</v>
      </c>
      <c r="L95">
        <f t="shared" ref="L95:L105" si="12">AVERAGE(C95,F95,I95)</f>
        <v>4.6032953333333326</v>
      </c>
      <c r="M95">
        <f t="shared" ref="M95:M105" si="13">_xlfn.STDEV.P(C95,F95,I95)</f>
        <v>2.3845508778151084E-3</v>
      </c>
      <c r="N95">
        <f t="shared" ref="N95:N105" si="14">AVERAGE(D95,G95,J95)</f>
        <v>2.2807429999999997</v>
      </c>
      <c r="O95">
        <f t="shared" ref="O95:O105" si="15">_xlfn.STDEV.P(D95,G95,J95)</f>
        <v>1.9045048350337108E-3</v>
      </c>
      <c r="P95">
        <f t="shared" ref="P95:P105" si="16">AVERAGE(E95,H95,K95)</f>
        <v>-0.56972499999999993</v>
      </c>
      <c r="Q95">
        <f t="shared" ref="Q95:Q105" si="17">_xlfn.STDEV.P(E95,H95,K95)</f>
        <v>1.8686091744039634E-2</v>
      </c>
    </row>
    <row r="96" spans="1:17">
      <c r="B96" t="s">
        <v>19</v>
      </c>
      <c r="C96">
        <v>-0.53108299999999997</v>
      </c>
      <c r="D96">
        <v>9.7459070000000008</v>
      </c>
      <c r="E96">
        <v>-0.52102199999999999</v>
      </c>
      <c r="F96">
        <v>-0.57711900000000005</v>
      </c>
      <c r="G96">
        <v>9.8207159999999991</v>
      </c>
      <c r="H96">
        <v>-0.53284799999999999</v>
      </c>
      <c r="I96">
        <v>-0.54829799999999995</v>
      </c>
      <c r="J96">
        <v>9.7488519999999994</v>
      </c>
      <c r="K96">
        <v>-0.51947399999999999</v>
      </c>
      <c r="L96">
        <f t="shared" si="12"/>
        <v>-0.55216666666666658</v>
      </c>
      <c r="M96">
        <f t="shared" si="13"/>
        <v>1.8992160844821131E-2</v>
      </c>
      <c r="N96">
        <f t="shared" si="14"/>
        <v>9.7718249999999998</v>
      </c>
      <c r="O96">
        <f t="shared" si="15"/>
        <v>3.459205753733989E-2</v>
      </c>
      <c r="P96">
        <f t="shared" si="16"/>
        <v>-0.52444799999999991</v>
      </c>
      <c r="Q96">
        <f t="shared" si="17"/>
        <v>5.9732222459908521E-3</v>
      </c>
    </row>
    <row r="97" spans="2:17">
      <c r="B97" t="s">
        <v>20</v>
      </c>
      <c r="C97">
        <v>-12.428731000000001</v>
      </c>
      <c r="D97">
        <v>6.333863</v>
      </c>
      <c r="E97">
        <v>-0.80431399999999997</v>
      </c>
      <c r="F97">
        <v>-12.432174</v>
      </c>
      <c r="G97">
        <v>6.369237</v>
      </c>
      <c r="H97">
        <v>-0.80340900000000004</v>
      </c>
      <c r="I97">
        <v>-12.425103999999999</v>
      </c>
      <c r="J97">
        <v>6.298508</v>
      </c>
      <c r="K97">
        <v>-0.80598000000000003</v>
      </c>
      <c r="L97">
        <f t="shared" si="12"/>
        <v>-12.428669666666666</v>
      </c>
      <c r="M97">
        <f t="shared" si="13"/>
        <v>2.8866412239065952E-3</v>
      </c>
      <c r="N97">
        <f t="shared" si="14"/>
        <v>6.3338693333333325</v>
      </c>
      <c r="O97">
        <f t="shared" si="15"/>
        <v>2.8874993683501011E-2</v>
      </c>
      <c r="P97">
        <f t="shared" si="16"/>
        <v>-0.80456766666666668</v>
      </c>
      <c r="Q97">
        <f t="shared" si="17"/>
        <v>1.0648224682494687E-3</v>
      </c>
    </row>
    <row r="98" spans="2:17">
      <c r="B98" t="s">
        <v>21</v>
      </c>
      <c r="C98">
        <v>5.6508929999999999</v>
      </c>
      <c r="D98">
        <v>2.999641</v>
      </c>
      <c r="E98">
        <v>-0.89818600000000004</v>
      </c>
      <c r="F98">
        <v>5.6146070000000003</v>
      </c>
      <c r="G98">
        <v>3.0068709999999998</v>
      </c>
      <c r="H98">
        <v>-0.89031099999999996</v>
      </c>
      <c r="I98">
        <v>5.6158390000000002</v>
      </c>
      <c r="J98">
        <v>3.0064600000000001</v>
      </c>
      <c r="K98">
        <v>-0.89052200000000004</v>
      </c>
      <c r="L98">
        <f t="shared" si="12"/>
        <v>5.6271130000000005</v>
      </c>
      <c r="M98">
        <f t="shared" si="13"/>
        <v>1.6822519747845772E-2</v>
      </c>
      <c r="N98">
        <f t="shared" si="14"/>
        <v>3.004324</v>
      </c>
      <c r="O98">
        <f t="shared" si="15"/>
        <v>3.3156293520235232E-3</v>
      </c>
      <c r="P98">
        <f t="shared" si="16"/>
        <v>-0.89300633333333346</v>
      </c>
      <c r="Q98">
        <f t="shared" si="17"/>
        <v>3.6635902548668975E-3</v>
      </c>
    </row>
    <row r="99" spans="2:17">
      <c r="B99" t="s">
        <v>22</v>
      </c>
      <c r="C99">
        <v>5.4550979999999996</v>
      </c>
      <c r="D99">
        <v>5.7948659999999999</v>
      </c>
      <c r="E99">
        <v>-0.67257100000000003</v>
      </c>
      <c r="F99">
        <v>5.4189910000000001</v>
      </c>
      <c r="G99">
        <v>5.7554930000000004</v>
      </c>
      <c r="H99">
        <v>-0.67945500000000003</v>
      </c>
      <c r="I99">
        <v>5.4048860000000003</v>
      </c>
      <c r="J99">
        <v>5.7417179999999997</v>
      </c>
      <c r="K99">
        <v>-0.68230599999999997</v>
      </c>
      <c r="L99">
        <f t="shared" si="12"/>
        <v>5.4263249999999994</v>
      </c>
      <c r="M99">
        <f t="shared" si="13"/>
        <v>2.1144769298023881E-2</v>
      </c>
      <c r="N99">
        <f t="shared" si="14"/>
        <v>5.764025666666666</v>
      </c>
      <c r="O99">
        <f t="shared" si="15"/>
        <v>2.2520838888065914E-2</v>
      </c>
      <c r="P99">
        <f t="shared" si="16"/>
        <v>-0.67811066666666664</v>
      </c>
      <c r="Q99">
        <f t="shared" si="17"/>
        <v>4.0863986045851404E-3</v>
      </c>
    </row>
    <row r="100" spans="2:17">
      <c r="B100" t="s">
        <v>23</v>
      </c>
      <c r="C100">
        <v>4.2115410000000004</v>
      </c>
      <c r="D100">
        <v>8.3736759999999997</v>
      </c>
      <c r="E100">
        <v>-0.25266300000000003</v>
      </c>
      <c r="F100">
        <v>4.1904380000000003</v>
      </c>
      <c r="G100">
        <v>8.4149370000000001</v>
      </c>
      <c r="H100">
        <v>-0.25106000000000001</v>
      </c>
      <c r="I100">
        <v>4.1798140000000004</v>
      </c>
      <c r="J100">
        <v>8.3821999999999992</v>
      </c>
      <c r="K100">
        <v>-0.25210300000000002</v>
      </c>
      <c r="L100">
        <f t="shared" si="12"/>
        <v>4.1939310000000001</v>
      </c>
      <c r="M100">
        <f t="shared" si="13"/>
        <v>1.3185886874483167E-2</v>
      </c>
      <c r="N100">
        <f t="shared" si="14"/>
        <v>8.3902709999999985</v>
      </c>
      <c r="O100">
        <f t="shared" si="15"/>
        <v>1.7785261894801448E-2</v>
      </c>
      <c r="P100">
        <f t="shared" si="16"/>
        <v>-0.25194200000000005</v>
      </c>
      <c r="Q100">
        <f t="shared" si="17"/>
        <v>6.6425045477340743E-4</v>
      </c>
    </row>
    <row r="101" spans="2:17">
      <c r="B101" t="s">
        <v>24</v>
      </c>
      <c r="C101">
        <v>5.1623679999999998</v>
      </c>
      <c r="D101">
        <v>8.9546130000000002</v>
      </c>
      <c r="E101">
        <v>-0.31068400000000002</v>
      </c>
      <c r="F101">
        <v>5.129251</v>
      </c>
      <c r="G101">
        <v>8.9284110000000005</v>
      </c>
      <c r="H101">
        <v>-0.30571300000000001</v>
      </c>
      <c r="I101">
        <v>5.1660560000000002</v>
      </c>
      <c r="J101">
        <v>8.9443009999999994</v>
      </c>
      <c r="K101">
        <v>-0.3115</v>
      </c>
      <c r="L101">
        <f>AVERAGE(C101,F101,I101)</f>
        <v>5.1525583333333342</v>
      </c>
      <c r="M101">
        <f t="shared" si="13"/>
        <v>1.6549404346447728E-2</v>
      </c>
      <c r="N101">
        <f t="shared" si="14"/>
        <v>8.9424416666666655</v>
      </c>
      <c r="O101">
        <f t="shared" si="15"/>
        <v>1.0777415934360966E-2</v>
      </c>
      <c r="P101">
        <f t="shared" si="16"/>
        <v>-0.30929900000000005</v>
      </c>
      <c r="Q101">
        <f t="shared" si="17"/>
        <v>2.5574741445418335E-3</v>
      </c>
    </row>
    <row r="102" spans="2:17">
      <c r="B102" t="s">
        <v>25</v>
      </c>
      <c r="C102">
        <v>5.150576</v>
      </c>
      <c r="D102">
        <v>5.8079850000000004</v>
      </c>
      <c r="E102">
        <v>-0.52624300000000002</v>
      </c>
      <c r="F102">
        <v>5.8344860000000001</v>
      </c>
      <c r="G102">
        <v>5.1598329999999999</v>
      </c>
      <c r="H102">
        <v>-0.53432100000000005</v>
      </c>
      <c r="I102">
        <v>5.8157209999999999</v>
      </c>
      <c r="J102">
        <v>5.1702630000000003</v>
      </c>
      <c r="K102">
        <v>-0.52659699999999998</v>
      </c>
      <c r="L102">
        <f t="shared" si="12"/>
        <v>5.6002609999999997</v>
      </c>
      <c r="M102">
        <f t="shared" si="13"/>
        <v>0.31806758267701535</v>
      </c>
      <c r="N102">
        <f t="shared" si="14"/>
        <v>5.3793603333333335</v>
      </c>
      <c r="O102">
        <f t="shared" si="15"/>
        <v>0.30311331751380094</v>
      </c>
      <c r="P102">
        <f t="shared" si="16"/>
        <v>-0.52905366666666664</v>
      </c>
      <c r="Q102">
        <f t="shared" si="17"/>
        <v>3.7273698799854009E-3</v>
      </c>
    </row>
    <row r="103" spans="2:17">
      <c r="B103" t="s">
        <v>26</v>
      </c>
      <c r="C103">
        <v>-4.2406470000000001</v>
      </c>
      <c r="D103">
        <v>-0.43248700000000001</v>
      </c>
      <c r="E103">
        <v>0.15151300000000001</v>
      </c>
      <c r="F103">
        <v>-4.196637</v>
      </c>
      <c r="G103">
        <v>-0.42444100000000001</v>
      </c>
      <c r="H103">
        <v>0.13986199999999999</v>
      </c>
      <c r="I103">
        <v>-4.1459260000000002</v>
      </c>
      <c r="J103">
        <v>-0.47321200000000002</v>
      </c>
      <c r="K103">
        <v>0.12117</v>
      </c>
      <c r="L103">
        <f t="shared" si="12"/>
        <v>-4.1944033333333337</v>
      </c>
      <c r="M103">
        <f t="shared" si="13"/>
        <v>3.8701928550855837E-2</v>
      </c>
      <c r="N103">
        <f t="shared" si="14"/>
        <v>-0.44338000000000005</v>
      </c>
      <c r="O103">
        <f t="shared" si="15"/>
        <v>2.1348625201637696E-2</v>
      </c>
      <c r="P103">
        <f t="shared" si="16"/>
        <v>0.137515</v>
      </c>
      <c r="Q103">
        <f t="shared" si="17"/>
        <v>1.2498152370117222E-2</v>
      </c>
    </row>
    <row r="104" spans="2:17">
      <c r="B104" t="s">
        <v>27</v>
      </c>
      <c r="C104">
        <v>-5.6941040000000003</v>
      </c>
      <c r="D104">
        <v>2.9658690000000001</v>
      </c>
      <c r="E104">
        <v>0.41373100000000002</v>
      </c>
      <c r="F104">
        <v>-5.7102279999999999</v>
      </c>
      <c r="G104">
        <v>2.931873</v>
      </c>
      <c r="H104">
        <v>0.41059099999999998</v>
      </c>
      <c r="I104">
        <v>-5.6941040000000003</v>
      </c>
      <c r="J104">
        <v>2.9658690000000001</v>
      </c>
      <c r="K104">
        <v>0.41373100000000002</v>
      </c>
      <c r="L104">
        <f t="shared" si="12"/>
        <v>-5.6994786666666668</v>
      </c>
      <c r="M104">
        <f t="shared" si="13"/>
        <v>7.6009264932343987E-3</v>
      </c>
      <c r="N104">
        <f t="shared" si="14"/>
        <v>2.9545370000000002</v>
      </c>
      <c r="O104">
        <f t="shared" si="15"/>
        <v>1.6025868088811977E-2</v>
      </c>
      <c r="P104">
        <f t="shared" si="16"/>
        <v>0.41268433333333338</v>
      </c>
      <c r="Q104">
        <f t="shared" si="17"/>
        <v>1.4802101952838544E-3</v>
      </c>
    </row>
    <row r="105" spans="2:17">
      <c r="B105" t="s">
        <v>28</v>
      </c>
      <c r="C105">
        <v>-6.289866</v>
      </c>
      <c r="D105">
        <v>4.7061840000000004</v>
      </c>
      <c r="E105">
        <v>0.52599399999999996</v>
      </c>
      <c r="F105">
        <v>-6.289866</v>
      </c>
      <c r="G105">
        <v>4.7061840000000004</v>
      </c>
      <c r="H105">
        <v>0.52599399999999996</v>
      </c>
      <c r="I105">
        <v>-6.3598939999999997</v>
      </c>
      <c r="J105">
        <v>4.6859780000000004</v>
      </c>
      <c r="K105">
        <v>0.53396900000000003</v>
      </c>
      <c r="L105">
        <f t="shared" si="12"/>
        <v>-6.3132086666666671</v>
      </c>
      <c r="M105">
        <f t="shared" si="13"/>
        <v>3.301151578195425E-2</v>
      </c>
      <c r="N105">
        <f t="shared" si="14"/>
        <v>4.6994486666666671</v>
      </c>
      <c r="O105">
        <f t="shared" si="15"/>
        <v>9.5251997471035611E-3</v>
      </c>
      <c r="P105">
        <f t="shared" si="16"/>
        <v>0.52865233333333339</v>
      </c>
      <c r="Q105">
        <f t="shared" si="17"/>
        <v>3.7594510533085087E-3</v>
      </c>
    </row>
    <row r="108" spans="2:17">
      <c r="B108" t="s">
        <v>29</v>
      </c>
      <c r="C108" t="s">
        <v>30</v>
      </c>
      <c r="D108" t="s">
        <v>31</v>
      </c>
      <c r="E108" t="s">
        <v>32</v>
      </c>
    </row>
    <row r="109" spans="2:17">
      <c r="B109">
        <v>1</v>
      </c>
      <c r="C109">
        <f>P98</f>
        <v>-0.89300633333333346</v>
      </c>
      <c r="D109">
        <v>10</v>
      </c>
      <c r="E109">
        <f>C109-(D109/100)</f>
        <v>-0.99300633333333344</v>
      </c>
      <c r="G109">
        <v>5.6271130000000005</v>
      </c>
      <c r="H109">
        <v>3.004324</v>
      </c>
    </row>
    <row r="110" spans="2:17">
      <c r="B110">
        <v>2</v>
      </c>
      <c r="C110">
        <f>P98</f>
        <v>-0.89300633333333346</v>
      </c>
      <c r="D110">
        <v>40</v>
      </c>
      <c r="E110">
        <f t="shared" ref="E110:E124" si="18">C110-(D110/100)</f>
        <v>-1.2930063333333335</v>
      </c>
      <c r="G110">
        <v>5.4263249999999994</v>
      </c>
      <c r="H110">
        <v>5.764025666666666</v>
      </c>
    </row>
    <row r="111" spans="2:17">
      <c r="B111">
        <v>3</v>
      </c>
      <c r="C111">
        <f>P99</f>
        <v>-0.67811066666666664</v>
      </c>
      <c r="D111">
        <v>-10</v>
      </c>
      <c r="E111">
        <f t="shared" si="18"/>
        <v>-0.57811066666666666</v>
      </c>
      <c r="G111">
        <v>4.1939310000000001</v>
      </c>
      <c r="H111">
        <v>8.3902709999999985</v>
      </c>
    </row>
    <row r="112" spans="2:17">
      <c r="B112">
        <v>4</v>
      </c>
      <c r="C112">
        <f>P99</f>
        <v>-0.67811066666666664</v>
      </c>
      <c r="D112">
        <v>10</v>
      </c>
      <c r="E112">
        <f t="shared" si="18"/>
        <v>-0.77811066666666662</v>
      </c>
      <c r="G112">
        <v>5.1525583333333342</v>
      </c>
      <c r="H112">
        <v>8.9424416666666655</v>
      </c>
    </row>
    <row r="113" spans="2:8">
      <c r="B113">
        <v>5</v>
      </c>
      <c r="C113">
        <f>P99</f>
        <v>-0.67811066666666664</v>
      </c>
      <c r="D113">
        <v>40</v>
      </c>
      <c r="E113">
        <f t="shared" si="18"/>
        <v>-1.0781106666666667</v>
      </c>
      <c r="G113">
        <v>5.6002609999999997</v>
      </c>
      <c r="H113">
        <v>5.3793603333333335</v>
      </c>
    </row>
    <row r="114" spans="2:8">
      <c r="B114">
        <v>6</v>
      </c>
      <c r="C114">
        <f>P100</f>
        <v>-0.25194200000000005</v>
      </c>
      <c r="D114">
        <v>10</v>
      </c>
      <c r="E114">
        <f t="shared" si="18"/>
        <v>-0.35194200000000009</v>
      </c>
      <c r="G114">
        <v>-4.1944033333333337</v>
      </c>
      <c r="H114">
        <v>-0.44338000000000005</v>
      </c>
    </row>
    <row r="115" spans="2:8">
      <c r="B115">
        <v>7</v>
      </c>
      <c r="C115">
        <f>P100</f>
        <v>-0.25194200000000005</v>
      </c>
      <c r="D115">
        <v>40</v>
      </c>
      <c r="E115">
        <f t="shared" si="18"/>
        <v>-0.65194200000000002</v>
      </c>
      <c r="G115">
        <v>-5.6994786666666668</v>
      </c>
      <c r="H115">
        <v>2.9545370000000002</v>
      </c>
    </row>
    <row r="116" spans="2:8">
      <c r="B116">
        <v>8</v>
      </c>
      <c r="C116">
        <f>P101</f>
        <v>-0.30929900000000005</v>
      </c>
      <c r="D116">
        <v>10</v>
      </c>
      <c r="E116">
        <f t="shared" si="18"/>
        <v>-0.40929900000000008</v>
      </c>
      <c r="G116">
        <v>-6.3132086666666671</v>
      </c>
      <c r="H116">
        <v>4.6994486666666671</v>
      </c>
    </row>
    <row r="117" spans="2:8">
      <c r="B117">
        <v>9</v>
      </c>
      <c r="C117">
        <f>P101</f>
        <v>-0.30929900000000005</v>
      </c>
      <c r="D117">
        <v>40</v>
      </c>
      <c r="E117">
        <f t="shared" si="18"/>
        <v>-0.70929900000000012</v>
      </c>
    </row>
    <row r="118" spans="2:8">
      <c r="B118">
        <v>10</v>
      </c>
      <c r="C118">
        <f>P102</f>
        <v>-0.52905366666666664</v>
      </c>
      <c r="D118">
        <v>10</v>
      </c>
      <c r="E118">
        <f t="shared" si="18"/>
        <v>-0.62905366666666662</v>
      </c>
    </row>
    <row r="119" spans="2:8">
      <c r="B119">
        <v>11</v>
      </c>
      <c r="C119">
        <f>P103</f>
        <v>0.137515</v>
      </c>
      <c r="D119">
        <v>10</v>
      </c>
      <c r="E119">
        <f t="shared" si="18"/>
        <v>3.7514999999999993E-2</v>
      </c>
    </row>
    <row r="120" spans="2:8">
      <c r="B120">
        <v>12</v>
      </c>
      <c r="C120">
        <f>P103</f>
        <v>0.137515</v>
      </c>
      <c r="D120">
        <v>40</v>
      </c>
      <c r="E120">
        <f t="shared" si="18"/>
        <v>-0.26248500000000002</v>
      </c>
    </row>
    <row r="121" spans="2:8">
      <c r="B121">
        <v>13</v>
      </c>
      <c r="C121">
        <f>P104</f>
        <v>0.41268433333333338</v>
      </c>
      <c r="D121">
        <v>10</v>
      </c>
      <c r="E121">
        <f t="shared" si="18"/>
        <v>0.31268433333333334</v>
      </c>
    </row>
    <row r="122" spans="2:8">
      <c r="B122">
        <v>14</v>
      </c>
      <c r="C122">
        <f>P104</f>
        <v>0.41268433333333338</v>
      </c>
      <c r="D122">
        <v>40</v>
      </c>
      <c r="E122">
        <f t="shared" si="18"/>
        <v>1.2684333333333353E-2</v>
      </c>
    </row>
    <row r="123" spans="2:8">
      <c r="B123">
        <v>15</v>
      </c>
      <c r="C123">
        <f>P105</f>
        <v>0.52865233333333339</v>
      </c>
      <c r="D123">
        <v>10</v>
      </c>
      <c r="E123">
        <f t="shared" si="18"/>
        <v>0.42865233333333341</v>
      </c>
    </row>
    <row r="124" spans="2:8">
      <c r="B124">
        <v>16</v>
      </c>
      <c r="C124">
        <f>P105</f>
        <v>0.52865233333333339</v>
      </c>
      <c r="D124">
        <v>40</v>
      </c>
      <c r="E124">
        <f t="shared" si="18"/>
        <v>0.12865233333333337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Widmer  Neomi</dc:creator>
  <cp:keywords/>
  <dc:description/>
  <cp:lastModifiedBy>Shakas  Alexis</cp:lastModifiedBy>
  <cp:revision/>
  <dcterms:created xsi:type="dcterms:W3CDTF">2024-07-03T12:56:22Z</dcterms:created>
  <dcterms:modified xsi:type="dcterms:W3CDTF">2024-08-29T12:33:18Z</dcterms:modified>
  <cp:category/>
  <cp:contentStatus/>
</cp:coreProperties>
</file>